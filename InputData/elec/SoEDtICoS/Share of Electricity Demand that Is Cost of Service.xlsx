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MS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55</v>
      </c>
      <c r="C4" t="inlineStr">
        <is>
          <t>City of Aberdeen - (MS)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MS</t>
        </is>
      </c>
      <c r="H4" t="inlineStr">
        <is>
          <t>Municipal</t>
        </is>
      </c>
      <c r="I4" t="inlineStr">
        <is>
          <t>TVA</t>
        </is>
      </c>
      <c r="J4" t="n">
        <v>4211</v>
      </c>
      <c r="K4" t="n">
        <v>34239</v>
      </c>
      <c r="L4" t="n">
        <v>2592</v>
      </c>
      <c r="M4" t="n">
        <v>3550</v>
      </c>
      <c r="N4" t="n">
        <v>29391</v>
      </c>
      <c r="O4" t="n">
        <v>736</v>
      </c>
      <c r="P4" t="n">
        <v>7185</v>
      </c>
      <c r="Q4" t="n">
        <v>127260</v>
      </c>
      <c r="R4" t="n">
        <v>2</v>
      </c>
      <c r="S4" t="n">
        <v>0</v>
      </c>
      <c r="T4" t="n">
        <v>0</v>
      </c>
      <c r="U4" t="n">
        <v>0</v>
      </c>
      <c r="V4" t="n">
        <v>14946</v>
      </c>
      <c r="W4" t="n">
        <v>190890</v>
      </c>
      <c r="X4" t="n">
        <v>3330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276</v>
      </c>
      <c r="C5" t="inlineStr">
        <is>
          <t>Alcorn County Elec Power Assn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MS</t>
        </is>
      </c>
      <c r="H5" t="inlineStr">
        <is>
          <t>Cooperative</t>
        </is>
      </c>
      <c r="I5" t="inlineStr">
        <is>
          <t>TVA</t>
        </is>
      </c>
      <c r="J5" t="n">
        <v>27784</v>
      </c>
      <c r="K5" t="n">
        <v>214981</v>
      </c>
      <c r="L5" t="n">
        <v>14965</v>
      </c>
      <c r="M5" t="n">
        <v>21450</v>
      </c>
      <c r="N5" t="n">
        <v>156737</v>
      </c>
      <c r="O5" t="n">
        <v>4209</v>
      </c>
      <c r="P5" t="n">
        <v>15258</v>
      </c>
      <c r="Q5" t="n">
        <v>259874</v>
      </c>
      <c r="R5" t="n">
        <v>7</v>
      </c>
      <c r="S5" t="n">
        <v>0</v>
      </c>
      <c r="T5" t="n">
        <v>0</v>
      </c>
      <c r="U5" t="n">
        <v>0</v>
      </c>
      <c r="V5" t="n">
        <v>64492</v>
      </c>
      <c r="W5" t="n">
        <v>631592</v>
      </c>
      <c r="X5" t="n">
        <v>19181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571</v>
      </c>
      <c r="C6" t="inlineStr">
        <is>
          <t>City of Amory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MS</t>
        </is>
      </c>
      <c r="H6" t="inlineStr">
        <is>
          <t>Municipal</t>
        </is>
      </c>
      <c r="I6" t="inlineStr">
        <is>
          <t>TVA</t>
        </is>
      </c>
      <c r="J6" t="n">
        <v>4410</v>
      </c>
      <c r="K6" t="n">
        <v>37764</v>
      </c>
      <c r="L6" t="n">
        <v>2822</v>
      </c>
      <c r="M6" t="n">
        <v>5977</v>
      </c>
      <c r="N6" t="n">
        <v>47462</v>
      </c>
      <c r="O6" t="n">
        <v>1134</v>
      </c>
      <c r="P6" t="n">
        <v>3039</v>
      </c>
      <c r="Q6" t="n">
        <v>35349</v>
      </c>
      <c r="R6" t="n">
        <v>3</v>
      </c>
      <c r="S6" t="n">
        <v>0</v>
      </c>
      <c r="T6" t="n">
        <v>0</v>
      </c>
      <c r="U6" t="n">
        <v>0</v>
      </c>
      <c r="V6" t="n">
        <v>13426</v>
      </c>
      <c r="W6" t="n">
        <v>120575</v>
      </c>
      <c r="X6" t="n">
        <v>3959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2849</v>
      </c>
      <c r="C7" t="inlineStr">
        <is>
          <t>Central Electric Power Assn - (MS)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MS</t>
        </is>
      </c>
      <c r="H7" t="inlineStr">
        <is>
          <t>Cooperative</t>
        </is>
      </c>
      <c r="I7" t="inlineStr">
        <is>
          <t>TVA</t>
        </is>
      </c>
      <c r="J7" t="n">
        <v>57602</v>
      </c>
      <c r="K7" t="n">
        <v>471500</v>
      </c>
      <c r="L7" t="n">
        <v>30905</v>
      </c>
      <c r="M7" t="n">
        <v>34555</v>
      </c>
      <c r="N7" t="n">
        <v>265696</v>
      </c>
      <c r="O7" t="n">
        <v>8062</v>
      </c>
      <c r="P7" t="n">
        <v>13292</v>
      </c>
      <c r="Q7" t="n">
        <v>191348</v>
      </c>
      <c r="R7" t="n">
        <v>8</v>
      </c>
      <c r="S7" t="n">
        <v>0</v>
      </c>
      <c r="T7" t="n">
        <v>0</v>
      </c>
      <c r="U7" t="n">
        <v>0</v>
      </c>
      <c r="V7" t="n">
        <v>105449</v>
      </c>
      <c r="W7" t="n">
        <v>928544</v>
      </c>
      <c r="X7" t="n">
        <v>38975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3841</v>
      </c>
      <c r="C8" t="inlineStr">
        <is>
          <t>Coast Electric Power Assn - (MS)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MS</t>
        </is>
      </c>
      <c r="H8" t="inlineStr">
        <is>
          <t>Cooperative</t>
        </is>
      </c>
      <c r="I8" t="inlineStr">
        <is>
          <t>SOCO</t>
        </is>
      </c>
      <c r="J8" t="n">
        <v>169730</v>
      </c>
      <c r="K8" t="n">
        <v>1229148</v>
      </c>
      <c r="L8" t="n">
        <v>82510</v>
      </c>
      <c r="M8" t="n">
        <v>55316</v>
      </c>
      <c r="N8" t="n">
        <v>447918</v>
      </c>
      <c r="O8" t="n">
        <v>7730</v>
      </c>
      <c r="P8" t="n">
        <v>16642</v>
      </c>
      <c r="Q8" t="n">
        <v>239498</v>
      </c>
      <c r="R8" t="n">
        <v>7</v>
      </c>
      <c r="S8" t="n">
        <v>0</v>
      </c>
      <c r="T8" t="n">
        <v>0</v>
      </c>
      <c r="U8" t="inlineStr">
        <is>
          <t>.</t>
        </is>
      </c>
      <c r="V8" t="n">
        <v>241688</v>
      </c>
      <c r="W8" t="n">
        <v>1916564</v>
      </c>
      <c r="X8" t="n">
        <v>90247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4068</v>
      </c>
      <c r="C9" t="inlineStr">
        <is>
          <t>City of Columbus - (MS)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MS</t>
        </is>
      </c>
      <c r="H9" t="inlineStr">
        <is>
          <t>Municipal</t>
        </is>
      </c>
      <c r="I9" t="inlineStr">
        <is>
          <t>TVA</t>
        </is>
      </c>
      <c r="J9" t="n">
        <v>14495</v>
      </c>
      <c r="K9" t="n">
        <v>120690</v>
      </c>
      <c r="L9" t="n">
        <v>8842</v>
      </c>
      <c r="M9" t="n">
        <v>23706</v>
      </c>
      <c r="N9" t="n">
        <v>204942</v>
      </c>
      <c r="O9" t="n">
        <v>3722</v>
      </c>
      <c r="P9" t="n">
        <v>2236</v>
      </c>
      <c r="Q9" t="n">
        <v>37207</v>
      </c>
      <c r="R9" t="n">
        <v>4</v>
      </c>
      <c r="S9" t="n">
        <v>0</v>
      </c>
      <c r="T9" t="n">
        <v>0</v>
      </c>
      <c r="U9" t="n">
        <v>0</v>
      </c>
      <c r="V9" t="n">
        <v>40437</v>
      </c>
      <c r="W9" t="n">
        <v>362839</v>
      </c>
      <c r="X9" t="n">
        <v>12568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5175</v>
      </c>
      <c r="C10" t="inlineStr">
        <is>
          <t>Dixie Electric Power Assn - (MS)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MS</t>
        </is>
      </c>
      <c r="H10" t="inlineStr">
        <is>
          <t>Cooperative</t>
        </is>
      </c>
      <c r="I10" t="inlineStr">
        <is>
          <t>MISO</t>
        </is>
      </c>
      <c r="J10" t="n">
        <v>73397.8</v>
      </c>
      <c r="K10" t="n">
        <v>546187</v>
      </c>
      <c r="L10" t="n">
        <v>37803</v>
      </c>
      <c r="M10" t="n">
        <v>24391.1</v>
      </c>
      <c r="N10" t="n">
        <v>197875</v>
      </c>
      <c r="O10" t="n">
        <v>3657</v>
      </c>
      <c r="P10" t="n">
        <v>8661.6</v>
      </c>
      <c r="Q10" t="n">
        <v>91800</v>
      </c>
      <c r="R10" t="n">
        <v>23</v>
      </c>
      <c r="S10" t="inlineStr">
        <is>
          <t>.</t>
        </is>
      </c>
      <c r="T10" t="inlineStr">
        <is>
          <t>.</t>
        </is>
      </c>
      <c r="U10" t="inlineStr">
        <is>
          <t>.</t>
        </is>
      </c>
      <c r="V10" t="n">
        <v>106450.5</v>
      </c>
      <c r="W10" t="n">
        <v>835862</v>
      </c>
      <c r="X10" t="n">
        <v>41483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5578</v>
      </c>
      <c r="C11" t="inlineStr">
        <is>
          <t>East Mississippi Elec Pwr Assn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MS</t>
        </is>
      </c>
      <c r="H11" t="inlineStr">
        <is>
          <t>Cooperative</t>
        </is>
      </c>
      <c r="I11" t="inlineStr">
        <is>
          <t>TVA</t>
        </is>
      </c>
      <c r="J11" t="n">
        <v>18042</v>
      </c>
      <c r="K11" t="n">
        <v>126541</v>
      </c>
      <c r="L11" t="n">
        <v>9885</v>
      </c>
      <c r="M11" t="n">
        <v>12626</v>
      </c>
      <c r="N11" t="n">
        <v>91099</v>
      </c>
      <c r="O11" t="n">
        <v>3351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30668</v>
      </c>
      <c r="W11" t="n">
        <v>217640</v>
      </c>
      <c r="X11" t="n">
        <v>13236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6641</v>
      </c>
      <c r="C12" t="inlineStr">
        <is>
          <t>4-County Electric Power Assn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MS</t>
        </is>
      </c>
      <c r="H12" t="inlineStr">
        <is>
          <t>Cooperative</t>
        </is>
      </c>
      <c r="I12" t="inlineStr">
        <is>
          <t>TVA</t>
        </is>
      </c>
      <c r="J12" t="n">
        <v>77017</v>
      </c>
      <c r="K12" t="n">
        <v>597902</v>
      </c>
      <c r="L12" t="n">
        <v>41076</v>
      </c>
      <c r="M12" t="n">
        <v>48591</v>
      </c>
      <c r="N12" t="n">
        <v>321662</v>
      </c>
      <c r="O12" t="n">
        <v>10184</v>
      </c>
      <c r="P12" t="n">
        <v>13497</v>
      </c>
      <c r="Q12" t="n">
        <v>192010</v>
      </c>
      <c r="R12" t="n">
        <v>8</v>
      </c>
      <c r="S12" t="n">
        <v>0</v>
      </c>
      <c r="T12" t="n">
        <v>0</v>
      </c>
      <c r="U12" t="n">
        <v>0</v>
      </c>
      <c r="V12" t="n">
        <v>139105</v>
      </c>
      <c r="W12" t="n">
        <v>1111574</v>
      </c>
      <c r="X12" t="n">
        <v>51268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7651</v>
      </c>
      <c r="C13" t="inlineStr">
        <is>
          <t>Greenwood Utilities Comm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MS</t>
        </is>
      </c>
      <c r="H13" t="inlineStr">
        <is>
          <t>Municipal</t>
        </is>
      </c>
      <c r="I13" t="inlineStr">
        <is>
          <t>MISO</t>
        </is>
      </c>
      <c r="J13" t="n">
        <v>10489.7</v>
      </c>
      <c r="K13" t="n">
        <v>93069</v>
      </c>
      <c r="L13" t="n">
        <v>7204</v>
      </c>
      <c r="M13" t="n">
        <v>12338.2</v>
      </c>
      <c r="N13" t="n">
        <v>121516</v>
      </c>
      <c r="O13" t="n">
        <v>1678</v>
      </c>
      <c r="P13" t="n">
        <v>3027.9</v>
      </c>
      <c r="Q13" t="n">
        <v>35885</v>
      </c>
      <c r="R13" t="n">
        <v>5</v>
      </c>
      <c r="S13" t="inlineStr">
        <is>
          <t>.</t>
        </is>
      </c>
      <c r="T13" t="inlineStr">
        <is>
          <t>.</t>
        </is>
      </c>
      <c r="U13" t="inlineStr">
        <is>
          <t>.</t>
        </is>
      </c>
      <c r="V13" t="n">
        <v>25855.8</v>
      </c>
      <c r="W13" t="n">
        <v>250470</v>
      </c>
      <c r="X13" t="n">
        <v>8887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8748</v>
      </c>
      <c r="C14" t="inlineStr">
        <is>
          <t>City of Holly Springs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MS</t>
        </is>
      </c>
      <c r="H14" t="inlineStr">
        <is>
          <t>Municipal</t>
        </is>
      </c>
      <c r="I14" t="inlineStr">
        <is>
          <t>TVA</t>
        </is>
      </c>
      <c r="J14" t="n">
        <v>10673</v>
      </c>
      <c r="K14" t="n">
        <v>87102</v>
      </c>
      <c r="L14" t="n">
        <v>9399</v>
      </c>
      <c r="M14" t="n">
        <v>6301</v>
      </c>
      <c r="N14" t="n">
        <v>45244</v>
      </c>
      <c r="O14" t="n">
        <v>2611</v>
      </c>
      <c r="P14" t="n">
        <v>564</v>
      </c>
      <c r="Q14" t="n">
        <v>5463</v>
      </c>
      <c r="R14" t="n">
        <v>2</v>
      </c>
      <c r="S14" t="n">
        <v>0</v>
      </c>
      <c r="T14" t="n">
        <v>0</v>
      </c>
      <c r="U14" t="n">
        <v>0</v>
      </c>
      <c r="V14" t="n">
        <v>17538</v>
      </c>
      <c r="W14" t="n">
        <v>137809</v>
      </c>
      <c r="X14" t="n">
        <v>12012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11247</v>
      </c>
      <c r="C15" t="inlineStr">
        <is>
          <t>Louisville Electric System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MS</t>
        </is>
      </c>
      <c r="H15" t="inlineStr">
        <is>
          <t>Municipal</t>
        </is>
      </c>
      <c r="I15" t="inlineStr">
        <is>
          <t>TVA</t>
        </is>
      </c>
      <c r="J15" t="n">
        <v>3323</v>
      </c>
      <c r="K15" t="n">
        <v>30518</v>
      </c>
      <c r="L15" t="n">
        <v>2444</v>
      </c>
      <c r="M15" t="n">
        <v>5759</v>
      </c>
      <c r="N15" t="n">
        <v>49166</v>
      </c>
      <c r="O15" t="n">
        <v>1015</v>
      </c>
      <c r="P15" t="n">
        <v>3189</v>
      </c>
      <c r="Q15" t="n">
        <v>46851</v>
      </c>
      <c r="R15" t="n">
        <v>3</v>
      </c>
      <c r="S15" t="n">
        <v>0</v>
      </c>
      <c r="T15" t="n">
        <v>0</v>
      </c>
      <c r="U15" t="n">
        <v>0</v>
      </c>
      <c r="V15" t="n">
        <v>12271</v>
      </c>
      <c r="W15" t="n">
        <v>126535</v>
      </c>
      <c r="X15" t="n">
        <v>3462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11458</v>
      </c>
      <c r="C16" t="inlineStr">
        <is>
          <t>City of Macon - (MS)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MS</t>
        </is>
      </c>
      <c r="H16" t="inlineStr">
        <is>
          <t>Municipal</t>
        </is>
      </c>
      <c r="I16" t="inlineStr">
        <is>
          <t>TVA</t>
        </is>
      </c>
      <c r="J16" t="n">
        <v>1444</v>
      </c>
      <c r="K16" t="n">
        <v>11140</v>
      </c>
      <c r="L16" t="n">
        <v>892</v>
      </c>
      <c r="M16" t="n">
        <v>1359</v>
      </c>
      <c r="N16" t="n">
        <v>10299</v>
      </c>
      <c r="O16" t="n">
        <v>288</v>
      </c>
      <c r="P16" t="n">
        <v>257</v>
      </c>
      <c r="Q16" t="n">
        <v>1214</v>
      </c>
      <c r="R16" t="n">
        <v>1</v>
      </c>
      <c r="S16" t="n">
        <v>0</v>
      </c>
      <c r="T16" t="n">
        <v>0</v>
      </c>
      <c r="U16" t="n">
        <v>0</v>
      </c>
      <c r="V16" t="n">
        <v>3060</v>
      </c>
      <c r="W16" t="n">
        <v>22653</v>
      </c>
      <c r="X16" t="n">
        <v>1181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11519</v>
      </c>
      <c r="C17" t="inlineStr">
        <is>
          <t>Magnolia Electric Power Assn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MS</t>
        </is>
      </c>
      <c r="H17" t="inlineStr">
        <is>
          <t>Cooperative</t>
        </is>
      </c>
      <c r="I17" t="inlineStr">
        <is>
          <t>MISO</t>
        </is>
      </c>
      <c r="J17" t="n">
        <v>61427</v>
      </c>
      <c r="K17" t="n">
        <v>409501</v>
      </c>
      <c r="L17" t="n">
        <v>31070</v>
      </c>
      <c r="M17" t="n">
        <v>14327</v>
      </c>
      <c r="N17" t="n">
        <v>96208</v>
      </c>
      <c r="O17" t="n">
        <v>2272</v>
      </c>
      <c r="P17" t="n">
        <v>11344</v>
      </c>
      <c r="Q17" t="n">
        <v>133423</v>
      </c>
      <c r="R17" t="n">
        <v>13</v>
      </c>
      <c r="S17" t="inlineStr">
        <is>
          <t>.</t>
        </is>
      </c>
      <c r="T17" t="inlineStr">
        <is>
          <t>.</t>
        </is>
      </c>
      <c r="U17" t="inlineStr">
        <is>
          <t>.</t>
        </is>
      </c>
      <c r="V17" t="n">
        <v>87098</v>
      </c>
      <c r="W17" t="n">
        <v>639132</v>
      </c>
      <c r="X17" t="n">
        <v>33355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12685</v>
      </c>
      <c r="C18" t="inlineStr">
        <is>
          <t>Entergy Mississippi LLC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MS</t>
        </is>
      </c>
      <c r="H18" t="inlineStr">
        <is>
          <t>Investor Owned</t>
        </is>
      </c>
      <c r="I18" t="inlineStr">
        <is>
          <t>MISO</t>
        </is>
      </c>
      <c r="J18" t="n">
        <v>724601</v>
      </c>
      <c r="K18" t="n">
        <v>5483701</v>
      </c>
      <c r="L18" t="n">
        <v>384611</v>
      </c>
      <c r="M18" t="n">
        <v>633904.1</v>
      </c>
      <c r="N18" t="n">
        <v>4984401</v>
      </c>
      <c r="O18" t="n">
        <v>71533</v>
      </c>
      <c r="P18" t="n">
        <v>195193.9</v>
      </c>
      <c r="Q18" t="n">
        <v>2357445</v>
      </c>
      <c r="R18" t="n">
        <v>4037</v>
      </c>
      <c r="S18" t="inlineStr">
        <is>
          <t>.</t>
        </is>
      </c>
      <c r="T18" t="inlineStr">
        <is>
          <t>.</t>
        </is>
      </c>
      <c r="U18" t="inlineStr">
        <is>
          <t>.</t>
        </is>
      </c>
      <c r="V18" t="n">
        <v>1553699</v>
      </c>
      <c r="W18" t="n">
        <v>12825547</v>
      </c>
      <c r="X18" t="n">
        <v>460181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12686</v>
      </c>
      <c r="C19" t="inlineStr">
        <is>
          <t>Mississippi Power Co</t>
        </is>
      </c>
      <c r="D19" t="inlineStr">
        <is>
          <t>A</t>
        </is>
      </c>
      <c r="E19" t="inlineStr">
        <is>
          <t>Bundled</t>
        </is>
      </c>
      <c r="F19" t="inlineStr">
        <is>
          <t>O</t>
        </is>
      </c>
      <c r="G19" t="inlineStr">
        <is>
          <t>MS</t>
        </is>
      </c>
      <c r="H19" t="inlineStr">
        <is>
          <t>Investor Owned</t>
        </is>
      </c>
      <c r="I19" t="inlineStr">
        <is>
          <t>SOCO</t>
        </is>
      </c>
      <c r="J19" t="n">
        <v>303566</v>
      </c>
      <c r="K19" t="n">
        <v>2097472</v>
      </c>
      <c r="L19" t="n">
        <v>157437</v>
      </c>
      <c r="M19" t="n">
        <v>326014</v>
      </c>
      <c r="N19" t="n">
        <v>2947843</v>
      </c>
      <c r="O19" t="n">
        <v>34553</v>
      </c>
      <c r="P19" t="n">
        <v>334964</v>
      </c>
      <c r="Q19" t="n">
        <v>4735309</v>
      </c>
      <c r="R19" t="n">
        <v>426</v>
      </c>
      <c r="S19" t="n">
        <v>0</v>
      </c>
      <c r="T19" t="inlineStr">
        <is>
          <t>.</t>
        </is>
      </c>
      <c r="U19" t="inlineStr">
        <is>
          <t>.</t>
        </is>
      </c>
      <c r="V19" t="n">
        <v>964544</v>
      </c>
      <c r="W19" t="n">
        <v>9780624</v>
      </c>
      <c r="X19" t="n">
        <v>192416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13227</v>
      </c>
      <c r="C20" t="inlineStr">
        <is>
          <t>Natchez Trace Elec Power Assn</t>
        </is>
      </c>
      <c r="D20" t="inlineStr">
        <is>
          <t>A</t>
        </is>
      </c>
      <c r="E20" t="inlineStr">
        <is>
          <t>Bundled</t>
        </is>
      </c>
      <c r="F20" t="inlineStr">
        <is>
          <t>O</t>
        </is>
      </c>
      <c r="G20" t="inlineStr">
        <is>
          <t>MS</t>
        </is>
      </c>
      <c r="H20" t="inlineStr">
        <is>
          <t>Cooperative</t>
        </is>
      </c>
      <c r="I20" t="inlineStr">
        <is>
          <t>TVA</t>
        </is>
      </c>
      <c r="J20" t="n">
        <v>21763</v>
      </c>
      <c r="K20" t="n">
        <v>170086</v>
      </c>
      <c r="L20" t="n">
        <v>12611</v>
      </c>
      <c r="M20" t="n">
        <v>14374</v>
      </c>
      <c r="N20" t="n">
        <v>104438</v>
      </c>
      <c r="O20" t="n">
        <v>3614</v>
      </c>
      <c r="P20" t="n">
        <v>2440</v>
      </c>
      <c r="Q20" t="n">
        <v>22187</v>
      </c>
      <c r="R20" t="n">
        <v>4</v>
      </c>
      <c r="S20" t="n">
        <v>0</v>
      </c>
      <c r="T20" t="n">
        <v>0</v>
      </c>
      <c r="U20" t="n">
        <v>0</v>
      </c>
      <c r="V20" t="n">
        <v>38577</v>
      </c>
      <c r="W20" t="n">
        <v>296711</v>
      </c>
      <c r="X20" t="n">
        <v>16229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13412</v>
      </c>
      <c r="C21" t="inlineStr">
        <is>
          <t>City of New Albany - (MS)</t>
        </is>
      </c>
      <c r="D21" t="inlineStr">
        <is>
          <t>A</t>
        </is>
      </c>
      <c r="E21" t="inlineStr">
        <is>
          <t>Bundled</t>
        </is>
      </c>
      <c r="F21" t="inlineStr">
        <is>
          <t>O</t>
        </is>
      </c>
      <c r="G21" t="inlineStr">
        <is>
          <t>MS</t>
        </is>
      </c>
      <c r="H21" t="inlineStr">
        <is>
          <t>Municipal</t>
        </is>
      </c>
      <c r="I21" t="inlineStr">
        <is>
          <t>TVA</t>
        </is>
      </c>
      <c r="J21" t="n">
        <v>14009</v>
      </c>
      <c r="K21" t="n">
        <v>113112</v>
      </c>
      <c r="L21" t="n">
        <v>8157</v>
      </c>
      <c r="M21" t="n">
        <v>14274</v>
      </c>
      <c r="N21" t="n">
        <v>110561</v>
      </c>
      <c r="O21" t="n">
        <v>3161</v>
      </c>
      <c r="P21" t="n">
        <v>6433</v>
      </c>
      <c r="Q21" t="n">
        <v>101378</v>
      </c>
      <c r="R21" t="n">
        <v>3</v>
      </c>
      <c r="S21" t="n">
        <v>0</v>
      </c>
      <c r="T21" t="n">
        <v>0</v>
      </c>
      <c r="U21" t="n">
        <v>0</v>
      </c>
      <c r="V21" t="n">
        <v>34716</v>
      </c>
      <c r="W21" t="n">
        <v>325051</v>
      </c>
      <c r="X21" t="n">
        <v>11321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13735</v>
      </c>
      <c r="C22" t="inlineStr">
        <is>
          <t>Northcentral Mississippi E P A</t>
        </is>
      </c>
      <c r="D22" t="inlineStr">
        <is>
          <t>A</t>
        </is>
      </c>
      <c r="E22" t="inlineStr">
        <is>
          <t>Bundled</t>
        </is>
      </c>
      <c r="F22" t="inlineStr">
        <is>
          <t>O</t>
        </is>
      </c>
      <c r="G22" t="inlineStr">
        <is>
          <t>MS</t>
        </is>
      </c>
      <c r="H22" t="inlineStr">
        <is>
          <t>Cooperative</t>
        </is>
      </c>
      <c r="I22" t="inlineStr">
        <is>
          <t>TVA</t>
        </is>
      </c>
      <c r="J22" t="n">
        <v>53251</v>
      </c>
      <c r="K22" t="n">
        <v>425370</v>
      </c>
      <c r="L22" t="n">
        <v>29136</v>
      </c>
      <c r="M22" t="n">
        <v>57509</v>
      </c>
      <c r="N22" t="n">
        <v>450517</v>
      </c>
      <c r="O22" t="n">
        <v>6493</v>
      </c>
      <c r="P22" t="n">
        <v>14560</v>
      </c>
      <c r="Q22" t="n">
        <v>208810</v>
      </c>
      <c r="R22" t="n">
        <v>14</v>
      </c>
      <c r="S22" t="n">
        <v>0</v>
      </c>
      <c r="T22" t="n">
        <v>0</v>
      </c>
      <c r="U22" t="n">
        <v>0</v>
      </c>
      <c r="V22" t="n">
        <v>125320</v>
      </c>
      <c r="W22" t="n">
        <v>1084697</v>
      </c>
      <c r="X22" t="n">
        <v>35643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14078</v>
      </c>
      <c r="C23" t="inlineStr">
        <is>
          <t>City of Okolona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MS</t>
        </is>
      </c>
      <c r="H23" t="inlineStr">
        <is>
          <t>Municipal</t>
        </is>
      </c>
      <c r="I23" t="inlineStr">
        <is>
          <t>TVA</t>
        </is>
      </c>
      <c r="J23" t="n">
        <v>7593</v>
      </c>
      <c r="K23" t="n">
        <v>59217</v>
      </c>
      <c r="L23" t="n">
        <v>4289</v>
      </c>
      <c r="M23" t="n">
        <v>3681</v>
      </c>
      <c r="N23" t="n">
        <v>26445</v>
      </c>
      <c r="O23" t="n">
        <v>1101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11274</v>
      </c>
      <c r="W23" t="n">
        <v>85662</v>
      </c>
      <c r="X23" t="n">
        <v>5390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14275</v>
      </c>
      <c r="C24" t="inlineStr">
        <is>
          <t>City of Oxford - (MS)</t>
        </is>
      </c>
      <c r="D24" t="inlineStr">
        <is>
          <t>A</t>
        </is>
      </c>
      <c r="E24" t="inlineStr">
        <is>
          <t>Bundled</t>
        </is>
      </c>
      <c r="F24" t="inlineStr">
        <is>
          <t>O</t>
        </is>
      </c>
      <c r="G24" t="inlineStr">
        <is>
          <t>MS</t>
        </is>
      </c>
      <c r="H24" t="inlineStr">
        <is>
          <t>Municipal</t>
        </is>
      </c>
      <c r="I24" t="inlineStr">
        <is>
          <t>TVA</t>
        </is>
      </c>
      <c r="J24" t="n">
        <v>10880</v>
      </c>
      <c r="K24" t="n">
        <v>93616</v>
      </c>
      <c r="L24" t="n">
        <v>8502</v>
      </c>
      <c r="M24" t="n">
        <v>14683</v>
      </c>
      <c r="N24" t="n">
        <v>129444</v>
      </c>
      <c r="O24" t="n">
        <v>1964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25563</v>
      </c>
      <c r="W24" t="n">
        <v>223060</v>
      </c>
      <c r="X24" t="n">
        <v>10466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14563</v>
      </c>
      <c r="C25" t="inlineStr">
        <is>
          <t>Pearl River Valley El Pwr Assn</t>
        </is>
      </c>
      <c r="D25" t="inlineStr">
        <is>
          <t>A</t>
        </is>
      </c>
      <c r="E25" t="inlineStr">
        <is>
          <t>Bundled</t>
        </is>
      </c>
      <c r="F25" t="inlineStr">
        <is>
          <t>O</t>
        </is>
      </c>
      <c r="G25" t="inlineStr">
        <is>
          <t>MS</t>
        </is>
      </c>
      <c r="H25" t="inlineStr">
        <is>
          <t>Cooperative</t>
        </is>
      </c>
      <c r="I25" t="inlineStr">
        <is>
          <t>MISO</t>
        </is>
      </c>
      <c r="J25" t="n">
        <v>106666.5</v>
      </c>
      <c r="K25" t="n">
        <v>748470</v>
      </c>
      <c r="L25" t="n">
        <v>52077</v>
      </c>
      <c r="M25" t="n">
        <v>24259.2</v>
      </c>
      <c r="N25" t="n">
        <v>196709</v>
      </c>
      <c r="O25" t="n">
        <v>1852</v>
      </c>
      <c r="P25" t="n">
        <v>12376.1</v>
      </c>
      <c r="Q25" t="n">
        <v>123663</v>
      </c>
      <c r="R25" t="n">
        <v>29</v>
      </c>
      <c r="S25" t="inlineStr">
        <is>
          <t>.</t>
        </is>
      </c>
      <c r="T25" t="inlineStr">
        <is>
          <t>.</t>
        </is>
      </c>
      <c r="U25" t="inlineStr">
        <is>
          <t>.</t>
        </is>
      </c>
      <c r="V25" t="n">
        <v>143301.8</v>
      </c>
      <c r="W25" t="n">
        <v>1068842</v>
      </c>
      <c r="X25" t="n">
        <v>53958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14947</v>
      </c>
      <c r="C26" t="inlineStr">
        <is>
          <t>City of Philadelphia - (MS)</t>
        </is>
      </c>
      <c r="D26" t="inlineStr">
        <is>
          <t>A</t>
        </is>
      </c>
      <c r="E26" t="inlineStr">
        <is>
          <t>Bundled</t>
        </is>
      </c>
      <c r="F26" t="inlineStr">
        <is>
          <t>O</t>
        </is>
      </c>
      <c r="G26" t="inlineStr">
        <is>
          <t>MS</t>
        </is>
      </c>
      <c r="H26" t="inlineStr">
        <is>
          <t>Municipal</t>
        </is>
      </c>
      <c r="I26" t="inlineStr">
        <is>
          <t>TVA</t>
        </is>
      </c>
      <c r="J26" t="n">
        <v>4357</v>
      </c>
      <c r="K26" t="n">
        <v>37115</v>
      </c>
      <c r="L26" t="n">
        <v>2667</v>
      </c>
      <c r="M26" t="n">
        <v>7483</v>
      </c>
      <c r="N26" t="n">
        <v>63133</v>
      </c>
      <c r="O26" t="n">
        <v>1171</v>
      </c>
      <c r="P26" t="n">
        <v>548</v>
      </c>
      <c r="Q26" t="n">
        <v>5372</v>
      </c>
      <c r="R26" t="n">
        <v>1</v>
      </c>
      <c r="S26" t="n">
        <v>0</v>
      </c>
      <c r="T26" t="n">
        <v>0</v>
      </c>
      <c r="U26" t="n">
        <v>0</v>
      </c>
      <c r="V26" t="n">
        <v>12388</v>
      </c>
      <c r="W26" t="n">
        <v>105620</v>
      </c>
      <c r="X26" t="n">
        <v>3839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15211</v>
      </c>
      <c r="C27" t="inlineStr">
        <is>
          <t>Pontotoc Electric Power Assn</t>
        </is>
      </c>
      <c r="D27" t="inlineStr">
        <is>
          <t>A</t>
        </is>
      </c>
      <c r="E27" t="inlineStr">
        <is>
          <t>Bundled</t>
        </is>
      </c>
      <c r="F27" t="inlineStr">
        <is>
          <t>O</t>
        </is>
      </c>
      <c r="G27" t="inlineStr">
        <is>
          <t>MS</t>
        </is>
      </c>
      <c r="H27" t="inlineStr">
        <is>
          <t>Cooperative</t>
        </is>
      </c>
      <c r="I27" t="inlineStr">
        <is>
          <t>TVA</t>
        </is>
      </c>
      <c r="J27" t="n">
        <v>31356</v>
      </c>
      <c r="K27" t="n">
        <v>240818</v>
      </c>
      <c r="L27" t="n">
        <v>16377</v>
      </c>
      <c r="M27" t="n">
        <v>19543</v>
      </c>
      <c r="N27" t="n">
        <v>140252</v>
      </c>
      <c r="O27" t="n">
        <v>4314</v>
      </c>
      <c r="P27" t="n">
        <v>3909</v>
      </c>
      <c r="Q27" t="n">
        <v>52042</v>
      </c>
      <c r="R27" t="n">
        <v>3</v>
      </c>
      <c r="S27" t="n">
        <v>0</v>
      </c>
      <c r="T27" t="n">
        <v>0</v>
      </c>
      <c r="U27" t="n">
        <v>0</v>
      </c>
      <c r="V27" t="n">
        <v>54808</v>
      </c>
      <c r="W27" t="n">
        <v>433112</v>
      </c>
      <c r="X27" t="n">
        <v>20694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15334</v>
      </c>
      <c r="C28" t="inlineStr">
        <is>
          <t>Prentiss County Elec Pwr Assn</t>
        </is>
      </c>
      <c r="D28" t="inlineStr">
        <is>
          <t>A</t>
        </is>
      </c>
      <c r="E28" t="inlineStr">
        <is>
          <t>Bundled</t>
        </is>
      </c>
      <c r="F28" t="inlineStr">
        <is>
          <t>O</t>
        </is>
      </c>
      <c r="G28" t="inlineStr">
        <is>
          <t>MS</t>
        </is>
      </c>
      <c r="H28" t="inlineStr">
        <is>
          <t>Cooperative</t>
        </is>
      </c>
      <c r="I28" t="inlineStr">
        <is>
          <t>TVA</t>
        </is>
      </c>
      <c r="J28" t="n">
        <v>16867</v>
      </c>
      <c r="K28" t="n">
        <v>155357</v>
      </c>
      <c r="L28" t="n">
        <v>10999</v>
      </c>
      <c r="M28" t="n">
        <v>13074</v>
      </c>
      <c r="N28" t="n">
        <v>109284</v>
      </c>
      <c r="O28" t="n">
        <v>3166</v>
      </c>
      <c r="P28" t="n">
        <v>6198</v>
      </c>
      <c r="Q28" t="n">
        <v>70502</v>
      </c>
      <c r="R28" t="n">
        <v>8</v>
      </c>
      <c r="S28" t="n">
        <v>0</v>
      </c>
      <c r="T28" t="n">
        <v>0</v>
      </c>
      <c r="U28" t="n">
        <v>0</v>
      </c>
      <c r="V28" t="n">
        <v>36139</v>
      </c>
      <c r="W28" t="n">
        <v>335143</v>
      </c>
      <c r="X28" t="n">
        <v>14173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17252</v>
      </c>
      <c r="C29" t="inlineStr">
        <is>
          <t>Singing River Elec Cooperative</t>
        </is>
      </c>
      <c r="D29" t="inlineStr">
        <is>
          <t>A</t>
        </is>
      </c>
      <c r="E29" t="inlineStr">
        <is>
          <t>Bundled</t>
        </is>
      </c>
      <c r="F29" t="inlineStr">
        <is>
          <t>O</t>
        </is>
      </c>
      <c r="G29" t="inlineStr">
        <is>
          <t>MS</t>
        </is>
      </c>
      <c r="H29" t="inlineStr">
        <is>
          <t>Cooperative</t>
        </is>
      </c>
      <c r="I29" t="inlineStr">
        <is>
          <t>MISO</t>
        </is>
      </c>
      <c r="J29" t="n">
        <v>140826.6</v>
      </c>
      <c r="K29" t="n">
        <v>1046069</v>
      </c>
      <c r="L29" t="n">
        <v>72343</v>
      </c>
      <c r="M29" t="n">
        <v>41270.7</v>
      </c>
      <c r="N29" t="n">
        <v>345789</v>
      </c>
      <c r="O29" t="n">
        <v>7903</v>
      </c>
      <c r="P29" t="n">
        <v>7570.8</v>
      </c>
      <c r="Q29" t="n">
        <v>78433</v>
      </c>
      <c r="R29" t="n">
        <v>15</v>
      </c>
      <c r="S29" t="n">
        <v>0</v>
      </c>
      <c r="T29" t="n">
        <v>0</v>
      </c>
      <c r="U29" t="n">
        <v>0</v>
      </c>
      <c r="V29" t="n">
        <v>189668.1</v>
      </c>
      <c r="W29" t="n">
        <v>1470291</v>
      </c>
      <c r="X29" t="n">
        <v>80261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17647</v>
      </c>
      <c r="C30" t="inlineStr">
        <is>
          <t>Southern Pine Electric Cooperative</t>
        </is>
      </c>
      <c r="D30" t="inlineStr">
        <is>
          <t>A</t>
        </is>
      </c>
      <c r="E30" t="inlineStr">
        <is>
          <t>Bundled</t>
        </is>
      </c>
      <c r="F30" t="inlineStr">
        <is>
          <t>O</t>
        </is>
      </c>
      <c r="G30" t="inlineStr">
        <is>
          <t>MS</t>
        </is>
      </c>
      <c r="H30" t="inlineStr">
        <is>
          <t>Cooperative</t>
        </is>
      </c>
      <c r="I30" t="inlineStr">
        <is>
          <t>MISO</t>
        </is>
      </c>
      <c r="J30" t="n">
        <v>127681.9</v>
      </c>
      <c r="K30" t="n">
        <v>911422</v>
      </c>
      <c r="L30" t="n">
        <v>65176</v>
      </c>
      <c r="M30" t="n">
        <v>42076</v>
      </c>
      <c r="N30" t="n">
        <v>327403</v>
      </c>
      <c r="O30" t="n">
        <v>5549</v>
      </c>
      <c r="P30" t="n">
        <v>59628.6</v>
      </c>
      <c r="Q30" t="n">
        <v>639465</v>
      </c>
      <c r="R30" t="n">
        <v>46</v>
      </c>
      <c r="S30" t="inlineStr">
        <is>
          <t>.</t>
        </is>
      </c>
      <c r="T30" t="inlineStr">
        <is>
          <t>.</t>
        </is>
      </c>
      <c r="U30" t="inlineStr">
        <is>
          <t>.</t>
        </is>
      </c>
      <c r="V30" t="n">
        <v>229386.5</v>
      </c>
      <c r="W30" t="n">
        <v>1878290</v>
      </c>
      <c r="X30" t="n">
        <v>70771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17683</v>
      </c>
      <c r="C31" t="inlineStr">
        <is>
          <t>Southwest Mississippi E P A</t>
        </is>
      </c>
      <c r="D31" t="inlineStr">
        <is>
          <t>A</t>
        </is>
      </c>
      <c r="E31" t="inlineStr">
        <is>
          <t>Bundled</t>
        </is>
      </c>
      <c r="F31" t="inlineStr">
        <is>
          <t>O</t>
        </is>
      </c>
      <c r="G31" t="inlineStr">
        <is>
          <t>MS</t>
        </is>
      </c>
      <c r="H31" t="inlineStr">
        <is>
          <t>Cooperative</t>
        </is>
      </c>
      <c r="I31" t="inlineStr">
        <is>
          <t>MISO</t>
        </is>
      </c>
      <c r="J31" t="n">
        <v>40677.4</v>
      </c>
      <c r="K31" t="n">
        <v>270673</v>
      </c>
      <c r="L31" t="n">
        <v>23153</v>
      </c>
      <c r="M31" t="n">
        <v>11065.5</v>
      </c>
      <c r="N31" t="n">
        <v>81407</v>
      </c>
      <c r="O31" t="n">
        <v>2247</v>
      </c>
      <c r="P31" t="n">
        <v>10637</v>
      </c>
      <c r="Q31" t="n">
        <v>110243</v>
      </c>
      <c r="R31" t="n">
        <v>16</v>
      </c>
      <c r="S31" t="inlineStr">
        <is>
          <t>.</t>
        </is>
      </c>
      <c r="T31" t="inlineStr">
        <is>
          <t>.</t>
        </is>
      </c>
      <c r="U31" t="inlineStr">
        <is>
          <t>.</t>
        </is>
      </c>
      <c r="V31" t="n">
        <v>62379.9</v>
      </c>
      <c r="W31" t="n">
        <v>462323</v>
      </c>
      <c r="X31" t="n">
        <v>25416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18006</v>
      </c>
      <c r="C32" t="inlineStr">
        <is>
          <t>City of Starkville</t>
        </is>
      </c>
      <c r="D32" t="inlineStr">
        <is>
          <t>A</t>
        </is>
      </c>
      <c r="E32" t="inlineStr">
        <is>
          <t>Bundled</t>
        </is>
      </c>
      <c r="F32" t="inlineStr">
        <is>
          <t>O</t>
        </is>
      </c>
      <c r="G32" t="inlineStr">
        <is>
          <t>MS</t>
        </is>
      </c>
      <c r="H32" t="inlineStr">
        <is>
          <t>Municipal</t>
        </is>
      </c>
      <c r="I32" t="inlineStr">
        <is>
          <t>TVA</t>
        </is>
      </c>
      <c r="J32" t="n">
        <v>15748</v>
      </c>
      <c r="K32" t="n">
        <v>130418</v>
      </c>
      <c r="L32" t="n">
        <v>12632</v>
      </c>
      <c r="M32" t="n">
        <v>28859</v>
      </c>
      <c r="N32" t="n">
        <v>279606</v>
      </c>
      <c r="O32" t="n">
        <v>1761</v>
      </c>
      <c r="P32" t="n">
        <v>1891</v>
      </c>
      <c r="Q32" t="n">
        <v>25901</v>
      </c>
      <c r="R32" t="n">
        <v>2</v>
      </c>
      <c r="S32" t="n">
        <v>0</v>
      </c>
      <c r="T32" t="n">
        <v>0</v>
      </c>
      <c r="U32" t="n">
        <v>0</v>
      </c>
      <c r="V32" t="n">
        <v>46498</v>
      </c>
      <c r="W32" t="n">
        <v>435925</v>
      </c>
      <c r="X32" t="n">
        <v>14395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18447</v>
      </c>
      <c r="C33" t="inlineStr">
        <is>
          <t>Tallahatchie Valley E P A</t>
        </is>
      </c>
      <c r="D33" t="inlineStr">
        <is>
          <t>A</t>
        </is>
      </c>
      <c r="E33" t="inlineStr">
        <is>
          <t>Bundled</t>
        </is>
      </c>
      <c r="F33" t="inlineStr">
        <is>
          <t>O</t>
        </is>
      </c>
      <c r="G33" t="inlineStr">
        <is>
          <t>MS</t>
        </is>
      </c>
      <c r="H33" t="inlineStr">
        <is>
          <t>Cooperative</t>
        </is>
      </c>
      <c r="I33" t="inlineStr">
        <is>
          <t>TVA</t>
        </is>
      </c>
      <c r="J33" t="n">
        <v>35092</v>
      </c>
      <c r="K33" t="n">
        <v>282764</v>
      </c>
      <c r="L33" t="n">
        <v>21493</v>
      </c>
      <c r="M33" t="n">
        <v>23453</v>
      </c>
      <c r="N33" t="n">
        <v>160096</v>
      </c>
      <c r="O33" t="n">
        <v>7052</v>
      </c>
      <c r="P33" t="n">
        <v>5328</v>
      </c>
      <c r="Q33" t="n">
        <v>59845</v>
      </c>
      <c r="R33" t="n">
        <v>7</v>
      </c>
      <c r="S33" t="n">
        <v>0</v>
      </c>
      <c r="T33" t="n">
        <v>0</v>
      </c>
      <c r="U33" t="n">
        <v>0</v>
      </c>
      <c r="V33" t="n">
        <v>63873</v>
      </c>
      <c r="W33" t="n">
        <v>502705</v>
      </c>
      <c r="X33" t="n">
        <v>28552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18642</v>
      </c>
      <c r="C34" t="inlineStr">
        <is>
          <t>Tennessee Valley Authority</t>
        </is>
      </c>
      <c r="D34" t="inlineStr">
        <is>
          <t>A</t>
        </is>
      </c>
      <c r="E34" t="inlineStr">
        <is>
          <t>Bundled</t>
        </is>
      </c>
      <c r="F34" t="inlineStr">
        <is>
          <t>O</t>
        </is>
      </c>
      <c r="G34" t="inlineStr">
        <is>
          <t>MS</t>
        </is>
      </c>
      <c r="H34" t="inlineStr">
        <is>
          <t>Federal</t>
        </is>
      </c>
      <c r="I34" t="inlineStr">
        <is>
          <t>TVA</t>
        </is>
      </c>
      <c r="J34" t="n">
        <v>0</v>
      </c>
      <c r="K34" t="n">
        <v>0</v>
      </c>
      <c r="L34" t="n">
        <v>0</v>
      </c>
      <c r="M34" t="n">
        <v>8775.299999999999</v>
      </c>
      <c r="N34" t="n">
        <v>110687</v>
      </c>
      <c r="O34" t="n">
        <v>2</v>
      </c>
      <c r="P34" t="n">
        <v>192528.3</v>
      </c>
      <c r="Q34" t="n">
        <v>4390621</v>
      </c>
      <c r="R34" t="n">
        <v>6</v>
      </c>
      <c r="S34" t="n">
        <v>0</v>
      </c>
      <c r="T34" t="n">
        <v>0</v>
      </c>
      <c r="U34" t="n">
        <v>0</v>
      </c>
      <c r="V34" t="n">
        <v>201303.6</v>
      </c>
      <c r="W34" t="n">
        <v>4501308</v>
      </c>
      <c r="X34" t="n">
        <v>8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18943</v>
      </c>
      <c r="C35" t="inlineStr">
        <is>
          <t>Tippah Electric Power Assn</t>
        </is>
      </c>
      <c r="D35" t="inlineStr">
        <is>
          <t>A</t>
        </is>
      </c>
      <c r="E35" t="inlineStr">
        <is>
          <t>Bundled</t>
        </is>
      </c>
      <c r="F35" t="inlineStr">
        <is>
          <t>O</t>
        </is>
      </c>
      <c r="G35" t="inlineStr">
        <is>
          <t>MS</t>
        </is>
      </c>
      <c r="H35" t="inlineStr">
        <is>
          <t>Cooperative</t>
        </is>
      </c>
      <c r="I35" t="inlineStr">
        <is>
          <t>TVA</t>
        </is>
      </c>
      <c r="J35" t="n">
        <v>16810</v>
      </c>
      <c r="K35" t="n">
        <v>127767</v>
      </c>
      <c r="L35" t="n">
        <v>10521</v>
      </c>
      <c r="M35" t="n">
        <v>12247</v>
      </c>
      <c r="N35" t="n">
        <v>89557</v>
      </c>
      <c r="O35" t="n">
        <v>3768</v>
      </c>
      <c r="P35" t="n">
        <v>7176</v>
      </c>
      <c r="Q35" t="n">
        <v>79355</v>
      </c>
      <c r="R35" t="n">
        <v>8</v>
      </c>
      <c r="S35" t="n">
        <v>0</v>
      </c>
      <c r="T35" t="n">
        <v>0</v>
      </c>
      <c r="U35" t="n">
        <v>0</v>
      </c>
      <c r="V35" t="n">
        <v>36233</v>
      </c>
      <c r="W35" t="n">
        <v>296679</v>
      </c>
      <c r="X35" t="n">
        <v>14297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18951</v>
      </c>
      <c r="C36" t="inlineStr">
        <is>
          <t>Tishomingo County E P A</t>
        </is>
      </c>
      <c r="D36" t="inlineStr">
        <is>
          <t>A</t>
        </is>
      </c>
      <c r="E36" t="inlineStr">
        <is>
          <t>Bundled</t>
        </is>
      </c>
      <c r="F36" t="inlineStr">
        <is>
          <t>O</t>
        </is>
      </c>
      <c r="G36" t="inlineStr">
        <is>
          <t>MS</t>
        </is>
      </c>
      <c r="H36" t="inlineStr">
        <is>
          <t>Cooperative</t>
        </is>
      </c>
      <c r="I36" t="inlineStr">
        <is>
          <t>TVA</t>
        </is>
      </c>
      <c r="J36" t="n">
        <v>18677</v>
      </c>
      <c r="K36" t="n">
        <v>146516</v>
      </c>
      <c r="L36" t="n">
        <v>10943</v>
      </c>
      <c r="M36" t="n">
        <v>13997</v>
      </c>
      <c r="N36" t="n">
        <v>100077</v>
      </c>
      <c r="O36" t="n">
        <v>2962</v>
      </c>
      <c r="P36" t="n">
        <v>10039</v>
      </c>
      <c r="Q36" t="n">
        <v>193632</v>
      </c>
      <c r="R36" t="n">
        <v>6</v>
      </c>
      <c r="S36" t="n">
        <v>0</v>
      </c>
      <c r="T36" t="n">
        <v>0</v>
      </c>
      <c r="U36" t="n">
        <v>0</v>
      </c>
      <c r="V36" t="n">
        <v>42713</v>
      </c>
      <c r="W36" t="n">
        <v>440225</v>
      </c>
      <c r="X36" t="n">
        <v>13911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  <row r="37">
      <c r="A37" t="n">
        <v>2024</v>
      </c>
      <c r="B37" t="n">
        <v>19007</v>
      </c>
      <c r="C37" t="inlineStr">
        <is>
          <t>Tombigbee Electric Power Assn</t>
        </is>
      </c>
      <c r="D37" t="inlineStr">
        <is>
          <t>A</t>
        </is>
      </c>
      <c r="E37" t="inlineStr">
        <is>
          <t>Bundled</t>
        </is>
      </c>
      <c r="F37" t="inlineStr">
        <is>
          <t>O</t>
        </is>
      </c>
      <c r="G37" t="inlineStr">
        <is>
          <t>MS</t>
        </is>
      </c>
      <c r="H37" t="inlineStr">
        <is>
          <t>Cooperative</t>
        </is>
      </c>
      <c r="I37" t="inlineStr">
        <is>
          <t>TVA</t>
        </is>
      </c>
      <c r="J37" t="n">
        <v>69551</v>
      </c>
      <c r="K37" t="n">
        <v>568801</v>
      </c>
      <c r="L37" t="n">
        <v>37296</v>
      </c>
      <c r="M37" t="n">
        <v>43089</v>
      </c>
      <c r="N37" t="n">
        <v>323181</v>
      </c>
      <c r="O37" t="n">
        <v>8545</v>
      </c>
      <c r="P37" t="n">
        <v>16673</v>
      </c>
      <c r="Q37" t="n">
        <v>212246</v>
      </c>
      <c r="R37" t="n">
        <v>18</v>
      </c>
      <c r="S37" t="n">
        <v>0</v>
      </c>
      <c r="T37" t="n">
        <v>0</v>
      </c>
      <c r="U37" t="n">
        <v>0</v>
      </c>
      <c r="V37" t="n">
        <v>129313</v>
      </c>
      <c r="W37" t="n">
        <v>1104228</v>
      </c>
      <c r="X37" t="n">
        <v>45859</v>
      </c>
      <c r="Y37">
        <f>IF(ISNUMBER($W37),$W37,0)</f>
        <v/>
      </c>
      <c r="Z37">
        <f>IF(ISNUMBER(SEARCH("Adjustment",$C37)),"excluded",IF($H37="Behind the Meter","excluded",IF(NOT(OR($E37="Bundled",$E37="Energy")),"excluded",IF(OR($H37="Retail Power Marketer",$H37="Community Choice Aggregator",$E37="Energy"),"procurement",IF(OR($H37="Municipal",$H37="Cooperative",$H37="Federal",$H37="State",$H37="Political Subdivision"),"cost_service",IF($H37="Investor Owned",IF(AND(COUNTIF(Parameters!$A$4:$A$33,$G37)&gt;0,COUNTIF(Parameters!$B$4:$B$33,$B37)=0),"procurement","cost_service"),"unclassified"))))))</f>
        <v/>
      </c>
    </row>
    <row r="38">
      <c r="A38" t="n">
        <v>2024</v>
      </c>
      <c r="B38" t="n">
        <v>19273</v>
      </c>
      <c r="C38" t="inlineStr">
        <is>
          <t>City of Tupelo - (MS)</t>
        </is>
      </c>
      <c r="D38" t="inlineStr">
        <is>
          <t>A</t>
        </is>
      </c>
      <c r="E38" t="inlineStr">
        <is>
          <t>Bundled</t>
        </is>
      </c>
      <c r="F38" t="inlineStr">
        <is>
          <t>O</t>
        </is>
      </c>
      <c r="G38" t="inlineStr">
        <is>
          <t>MS</t>
        </is>
      </c>
      <c r="H38" t="inlineStr">
        <is>
          <t>Municipal</t>
        </is>
      </c>
      <c r="I38" t="inlineStr">
        <is>
          <t>TVA</t>
        </is>
      </c>
      <c r="J38" t="n">
        <v>15357</v>
      </c>
      <c r="K38" t="n">
        <v>139489</v>
      </c>
      <c r="L38" t="n">
        <v>10620</v>
      </c>
      <c r="M38" t="n">
        <v>34724</v>
      </c>
      <c r="N38" t="n">
        <v>316663</v>
      </c>
      <c r="O38" t="n">
        <v>5022</v>
      </c>
      <c r="P38" t="n">
        <v>7522</v>
      </c>
      <c r="Q38" t="n">
        <v>126285</v>
      </c>
      <c r="R38" t="n">
        <v>3</v>
      </c>
      <c r="S38" t="n">
        <v>0</v>
      </c>
      <c r="T38" t="n">
        <v>0</v>
      </c>
      <c r="U38" t="n">
        <v>0</v>
      </c>
      <c r="V38" t="n">
        <v>57603</v>
      </c>
      <c r="W38" t="n">
        <v>582437</v>
      </c>
      <c r="X38" t="n">
        <v>15645</v>
      </c>
      <c r="Y38">
        <f>IF(ISNUMBER($W38),$W38,0)</f>
        <v/>
      </c>
      <c r="Z38">
        <f>IF(ISNUMBER(SEARCH("Adjustment",$C38)),"excluded",IF($H38="Behind the Meter","excluded",IF(NOT(OR($E38="Bundled",$E38="Energy")),"excluded",IF(OR($H38="Retail Power Marketer",$H38="Community Choice Aggregator",$E38="Energy"),"procurement",IF(OR($H38="Municipal",$H38="Cooperative",$H38="Federal",$H38="State",$H38="Political Subdivision"),"cost_service",IF($H38="Investor Owned",IF(AND(COUNTIF(Parameters!$A$4:$A$33,$G38)&gt;0,COUNTIF(Parameters!$B$4:$B$33,$B38)=0),"procurement","cost_service"),"unclassified"))))))</f>
        <v/>
      </c>
    </row>
    <row r="39">
      <c r="A39" t="n">
        <v>2024</v>
      </c>
      <c r="B39" t="n">
        <v>20176</v>
      </c>
      <c r="C39" t="inlineStr">
        <is>
          <t>City of Water Valley - (MS)</t>
        </is>
      </c>
      <c r="D39" t="inlineStr">
        <is>
          <t>A</t>
        </is>
      </c>
      <c r="E39" t="inlineStr">
        <is>
          <t>Bundled</t>
        </is>
      </c>
      <c r="F39" t="inlineStr">
        <is>
          <t>O</t>
        </is>
      </c>
      <c r="G39" t="inlineStr">
        <is>
          <t>MS</t>
        </is>
      </c>
      <c r="H39" t="inlineStr">
        <is>
          <t>Municipal</t>
        </is>
      </c>
      <c r="I39" t="inlineStr">
        <is>
          <t>TVA</t>
        </is>
      </c>
      <c r="J39" t="n">
        <v>2489</v>
      </c>
      <c r="K39" t="n">
        <v>19682</v>
      </c>
      <c r="L39" t="n">
        <v>1522</v>
      </c>
      <c r="M39" t="n">
        <v>1996</v>
      </c>
      <c r="N39" t="n">
        <v>15321</v>
      </c>
      <c r="O39" t="n">
        <v>556</v>
      </c>
      <c r="P39" t="n">
        <v>1844</v>
      </c>
      <c r="Q39" t="n">
        <v>28137</v>
      </c>
      <c r="R39" t="n">
        <v>1</v>
      </c>
      <c r="S39" t="n">
        <v>0</v>
      </c>
      <c r="T39" t="n">
        <v>0</v>
      </c>
      <c r="U39" t="n">
        <v>0</v>
      </c>
      <c r="V39" t="n">
        <v>6329</v>
      </c>
      <c r="W39" t="n">
        <v>63140</v>
      </c>
      <c r="X39" t="n">
        <v>2079</v>
      </c>
      <c r="Y39">
        <f>IF(ISNUMBER($W39),$W39,0)</f>
        <v/>
      </c>
      <c r="Z39">
        <f>IF(ISNUMBER(SEARCH("Adjustment",$C39)),"excluded",IF($H39="Behind the Meter","excluded",IF(NOT(OR($E39="Bundled",$E39="Energy")),"excluded",IF(OR($H39="Retail Power Marketer",$H39="Community Choice Aggregator",$E39="Energy"),"procurement",IF(OR($H39="Municipal",$H39="Cooperative",$H39="Federal",$H39="State",$H39="Political Subdivision"),"cost_service",IF($H39="Investor Owned",IF(AND(COUNTIF(Parameters!$A$4:$A$33,$G39)&gt;0,COUNTIF(Parameters!$B$4:$B$33,$B39)=0),"procurement","cost_service"),"unclassified"))))))</f>
        <v/>
      </c>
    </row>
    <row r="40">
      <c r="A40" t="n">
        <v>2024</v>
      </c>
      <c r="B40" t="n">
        <v>20394</v>
      </c>
      <c r="C40" t="inlineStr">
        <is>
          <t>City of West Point - (MS)</t>
        </is>
      </c>
      <c r="D40" t="inlineStr">
        <is>
          <t>A</t>
        </is>
      </c>
      <c r="E40" t="inlineStr">
        <is>
          <t>Bundled</t>
        </is>
      </c>
      <c r="F40" t="inlineStr">
        <is>
          <t>O</t>
        </is>
      </c>
      <c r="G40" t="inlineStr">
        <is>
          <t>MS</t>
        </is>
      </c>
      <c r="H40" t="inlineStr">
        <is>
          <t>Municipal</t>
        </is>
      </c>
      <c r="I40" t="inlineStr">
        <is>
          <t>TVA</t>
        </is>
      </c>
      <c r="J40" t="n">
        <v>4220</v>
      </c>
      <c r="K40" t="n">
        <v>34496</v>
      </c>
      <c r="L40" t="n">
        <v>2978</v>
      </c>
      <c r="M40" t="n">
        <v>5369</v>
      </c>
      <c r="N40" t="n">
        <v>39562</v>
      </c>
      <c r="O40" t="n">
        <v>860</v>
      </c>
      <c r="P40" t="n">
        <v>3006</v>
      </c>
      <c r="Q40" t="n">
        <v>39697</v>
      </c>
      <c r="R40" t="n">
        <v>2</v>
      </c>
      <c r="S40" t="n">
        <v>0</v>
      </c>
      <c r="T40" t="n">
        <v>0</v>
      </c>
      <c r="U40" t="n">
        <v>0</v>
      </c>
      <c r="V40" t="n">
        <v>12595</v>
      </c>
      <c r="W40" t="n">
        <v>113755</v>
      </c>
      <c r="X40" t="n">
        <v>3840</v>
      </c>
      <c r="Y40">
        <f>IF(ISNUMBER($W40),$W40,0)</f>
        <v/>
      </c>
      <c r="Z40">
        <f>IF(ISNUMBER(SEARCH("Adjustment",$C40)),"excluded",IF($H40="Behind the Meter","excluded",IF(NOT(OR($E40="Bundled",$E40="Energy")),"excluded",IF(OR($H40="Retail Power Marketer",$H40="Community Choice Aggregator",$E40="Energy"),"procurement",IF(OR($H40="Municipal",$H40="Cooperative",$H40="Federal",$H40="State",$H40="Political Subdivision"),"cost_service",IF($H40="Investor Owned",IF(AND(COUNTIF(Parameters!$A$4:$A$33,$G40)&gt;0,COUNTIF(Parameters!$B$4:$B$33,$B40)=0),"procurement","cost_service"),"unclassified"))))))</f>
        <v/>
      </c>
    </row>
    <row r="41">
      <c r="A41" t="n">
        <v>2024</v>
      </c>
      <c r="B41" t="n">
        <v>21114</v>
      </c>
      <c r="C41" t="inlineStr">
        <is>
          <t>Yazoo Valley Elec Power Assn</t>
        </is>
      </c>
      <c r="D41" t="inlineStr">
        <is>
          <t>A</t>
        </is>
      </c>
      <c r="E41" t="inlineStr">
        <is>
          <t>Bundled</t>
        </is>
      </c>
      <c r="F41" t="inlineStr">
        <is>
          <t>O</t>
        </is>
      </c>
      <c r="G41" t="inlineStr">
        <is>
          <t>MS</t>
        </is>
      </c>
      <c r="H41" t="inlineStr">
        <is>
          <t>Cooperative</t>
        </is>
      </c>
      <c r="I41" t="inlineStr">
        <is>
          <t>MISO</t>
        </is>
      </c>
      <c r="J41" t="n">
        <v>19666.8</v>
      </c>
      <c r="K41" t="n">
        <v>120429</v>
      </c>
      <c r="L41" t="n">
        <v>9488</v>
      </c>
      <c r="M41" t="n">
        <v>6352.7</v>
      </c>
      <c r="N41" t="n">
        <v>36944</v>
      </c>
      <c r="O41" t="n">
        <v>997</v>
      </c>
      <c r="P41" t="n">
        <v>27942.4</v>
      </c>
      <c r="Q41" t="n">
        <v>403996</v>
      </c>
      <c r="R41" t="n">
        <v>8</v>
      </c>
      <c r="S41" t="inlineStr">
        <is>
          <t>.</t>
        </is>
      </c>
      <c r="T41" t="inlineStr">
        <is>
          <t>.</t>
        </is>
      </c>
      <c r="U41" t="inlineStr">
        <is>
          <t>.</t>
        </is>
      </c>
      <c r="V41" t="n">
        <v>53961.9</v>
      </c>
      <c r="W41" t="n">
        <v>561369</v>
      </c>
      <c r="X41" t="n">
        <v>10493</v>
      </c>
      <c r="Y41">
        <f>IF(ISNUMBER($W41),$W41,0)</f>
        <v/>
      </c>
      <c r="Z41">
        <f>IF(ISNUMBER(SEARCH("Adjustment",$C41)),"excluded",IF($H41="Behind the Meter","excluded",IF(NOT(OR($E41="Bundled",$E41="Energy")),"excluded",IF(OR($H41="Retail Power Marketer",$H41="Community Choice Aggregator",$E41="Energy"),"procurement",IF(OR($H41="Municipal",$H41="Cooperative",$H41="Federal",$H41="State",$H41="Political Subdivision"),"cost_service",IF($H41="Investor Owned",IF(AND(COUNTIF(Parameters!$A$4:$A$33,$G41)&gt;0,COUNTIF(Parameters!$B$4:$B$33,$B41)=0),"procurement","cost_service"),"unclassified"))))))</f>
        <v/>
      </c>
    </row>
    <row r="42">
      <c r="A42" t="n">
        <v>2024</v>
      </c>
      <c r="B42" t="n">
        <v>22815</v>
      </c>
      <c r="C42" t="inlineStr">
        <is>
          <t>Delta Electric Power Assn</t>
        </is>
      </c>
      <c r="D42" t="inlineStr">
        <is>
          <t>A</t>
        </is>
      </c>
      <c r="E42" t="inlineStr">
        <is>
          <t>Bundled</t>
        </is>
      </c>
      <c r="F42" t="inlineStr">
        <is>
          <t>O</t>
        </is>
      </c>
      <c r="G42" t="inlineStr">
        <is>
          <t>MS</t>
        </is>
      </c>
      <c r="H42" t="inlineStr">
        <is>
          <t>Cooperative</t>
        </is>
      </c>
      <c r="I42" t="inlineStr">
        <is>
          <t>MISO</t>
        </is>
      </c>
      <c r="J42" t="n">
        <v>33712.1</v>
      </c>
      <c r="K42" t="n">
        <v>245090</v>
      </c>
      <c r="L42" t="n">
        <v>20460</v>
      </c>
      <c r="M42" t="n">
        <v>6914.4</v>
      </c>
      <c r="N42" t="n">
        <v>43652</v>
      </c>
      <c r="O42" t="n">
        <v>3384</v>
      </c>
      <c r="P42" t="n">
        <v>36156.7</v>
      </c>
      <c r="Q42" t="n">
        <v>261741</v>
      </c>
      <c r="R42" t="n">
        <v>5900</v>
      </c>
      <c r="S42" t="n">
        <v>0</v>
      </c>
      <c r="T42" t="n">
        <v>0</v>
      </c>
      <c r="U42" t="n">
        <v>0</v>
      </c>
      <c r="V42" t="n">
        <v>76783.2</v>
      </c>
      <c r="W42" t="n">
        <v>550483</v>
      </c>
      <c r="X42" t="n">
        <v>29744</v>
      </c>
      <c r="Y42">
        <f>IF(ISNUMBER($W42),$W42,0)</f>
        <v/>
      </c>
      <c r="Z42">
        <f>IF(ISNUMBER(SEARCH("Adjustment",$C42)),"excluded",IF($H42="Behind the Meter","excluded",IF(NOT(OR($E42="Bundled",$E42="Energy")),"excluded",IF(OR($H42="Retail Power Marketer",$H42="Community Choice Aggregator",$E42="Energy"),"procurement",IF(OR($H42="Municipal",$H42="Cooperative",$H42="Federal",$H42="State",$H42="Political Subdivision"),"cost_service",IF($H42="Investor Owned",IF(AND(COUNTIF(Parameters!$A$4:$A$33,$G42)&gt;0,COUNTIF(Parameters!$B$4:$B$33,$B42)=0),"procurement","cost_service"),"unclassified"))))))</f>
        <v/>
      </c>
    </row>
    <row r="43">
      <c r="A43" t="n">
        <v>2024</v>
      </c>
      <c r="B43" t="n">
        <v>40302</v>
      </c>
      <c r="C43" t="inlineStr">
        <is>
          <t>North East Mississippi EPA</t>
        </is>
      </c>
      <c r="D43" t="inlineStr">
        <is>
          <t>A</t>
        </is>
      </c>
      <c r="E43" t="inlineStr">
        <is>
          <t>Bundled</t>
        </is>
      </c>
      <c r="F43" t="inlineStr">
        <is>
          <t>O</t>
        </is>
      </c>
      <c r="G43" t="inlineStr">
        <is>
          <t>MS</t>
        </is>
      </c>
      <c r="H43" t="inlineStr">
        <is>
          <t>Cooperative</t>
        </is>
      </c>
      <c r="I43" t="inlineStr">
        <is>
          <t>TVA</t>
        </is>
      </c>
      <c r="J43" t="n">
        <v>43475</v>
      </c>
      <c r="K43" t="n">
        <v>324599</v>
      </c>
      <c r="L43" t="n">
        <v>26142</v>
      </c>
      <c r="M43" t="n">
        <v>25772</v>
      </c>
      <c r="N43" t="n">
        <v>246558</v>
      </c>
      <c r="O43" t="n">
        <v>3518</v>
      </c>
      <c r="P43" t="n">
        <v>4679</v>
      </c>
      <c r="Q43" t="n">
        <v>59614</v>
      </c>
      <c r="R43" t="n">
        <v>4</v>
      </c>
      <c r="S43" t="n">
        <v>0</v>
      </c>
      <c r="T43" t="n">
        <v>0</v>
      </c>
      <c r="U43" t="n">
        <v>0</v>
      </c>
      <c r="V43" t="n">
        <v>73926</v>
      </c>
      <c r="W43" t="n">
        <v>630771</v>
      </c>
      <c r="X43" t="n">
        <v>29664</v>
      </c>
      <c r="Y43">
        <f>IF(ISNUMBER($W43),$W43,0)</f>
        <v/>
      </c>
      <c r="Z43">
        <f>IF(ISNUMBER(SEARCH("Adjustment",$C43)),"excluded",IF($H43="Behind the Meter","excluded",IF(NOT(OR($E43="Bundled",$E43="Energy")),"excluded",IF(OR($H43="Retail Power Marketer",$H43="Community Choice Aggregator",$E43="Energy"),"procurement",IF(OR($H43="Municipal",$H43="Cooperative",$H43="Federal",$H43="State",$H43="Political Subdivision"),"cost_service",IF($H43="Investor Owned",IF(AND(COUNTIF(Parameters!$A$4:$A$33,$G43)&gt;0,COUNTIF(Parameters!$B$4:$B$33,$B43)=0),"procurement","cost_service"),"unclassified"))))))</f>
        <v/>
      </c>
    </row>
    <row r="44">
      <c r="A44" t="n">
        <v>2024</v>
      </c>
      <c r="B44" t="n">
        <v>40303</v>
      </c>
      <c r="C44" t="inlineStr">
        <is>
          <t>Monroe County Elec Power Assn</t>
        </is>
      </c>
      <c r="D44" t="inlineStr">
        <is>
          <t>A</t>
        </is>
      </c>
      <c r="E44" t="inlineStr">
        <is>
          <t>Bundled</t>
        </is>
      </c>
      <c r="F44" t="inlineStr">
        <is>
          <t>O</t>
        </is>
      </c>
      <c r="G44" t="inlineStr">
        <is>
          <t>MS</t>
        </is>
      </c>
      <c r="H44" t="inlineStr">
        <is>
          <t>Cooperative</t>
        </is>
      </c>
      <c r="I44" t="inlineStr">
        <is>
          <t>TVA</t>
        </is>
      </c>
      <c r="J44" t="n">
        <v>20739</v>
      </c>
      <c r="K44" t="n">
        <v>165572</v>
      </c>
      <c r="L44" t="n">
        <v>10170</v>
      </c>
      <c r="M44" t="n">
        <v>6592</v>
      </c>
      <c r="N44" t="n">
        <v>45272</v>
      </c>
      <c r="O44" t="n">
        <v>1650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27331</v>
      </c>
      <c r="W44" t="n">
        <v>210844</v>
      </c>
      <c r="X44" t="n">
        <v>11820</v>
      </c>
      <c r="Y44">
        <f>IF(ISNUMBER($W44),$W44,0)</f>
        <v/>
      </c>
      <c r="Z44">
        <f>IF(ISNUMBER(SEARCH("Adjustment",$C44)),"excluded",IF($H44="Behind the Meter","excluded",IF(NOT(OR($E44="Bundled",$E44="Energy")),"excluded",IF(OR($H44="Retail Power Marketer",$H44="Community Choice Aggregator",$E44="Energy"),"procurement",IF(OR($H44="Municipal",$H44="Cooperative",$H44="Federal",$H44="State",$H44="Political Subdivision"),"cost_service",IF($H44="Investor Owned",IF(AND(COUNTIF(Parameters!$A$4:$A$33,$G44)&gt;0,COUNTIF(Parameters!$B$4:$B$33,$B44)=0),"procurement","cost_service"),"unclassified"))))))</f>
        <v/>
      </c>
    </row>
    <row r="45">
      <c r="A45" t="n">
        <v>2024</v>
      </c>
      <c r="B45" t="n">
        <v>99999</v>
      </c>
      <c r="C45" t="inlineStr">
        <is>
          <t>Adjustment 2024</t>
        </is>
      </c>
      <c r="D45" t="inlineStr">
        <is>
          <t>A</t>
        </is>
      </c>
      <c r="E45" t="inlineStr">
        <is>
          <t>Bundled</t>
        </is>
      </c>
      <c r="F45" t="inlineStr">
        <is>
          <t>I</t>
        </is>
      </c>
      <c r="G45" t="inlineStr">
        <is>
          <t>MS</t>
        </is>
      </c>
      <c r="H45" t="inlineStr"/>
      <c r="I45" t="inlineStr">
        <is>
          <t>SOCO</t>
        </is>
      </c>
      <c r="J45" t="n">
        <v>2751.5</v>
      </c>
      <c r="K45" t="n">
        <v>20279</v>
      </c>
      <c r="L45" t="n">
        <v>962</v>
      </c>
      <c r="M45" t="n">
        <v>3271</v>
      </c>
      <c r="N45" t="n">
        <v>25034</v>
      </c>
      <c r="O45" t="n">
        <v>406</v>
      </c>
      <c r="P45" t="n">
        <v>58.8</v>
      </c>
      <c r="Q45" t="n">
        <v>444</v>
      </c>
      <c r="R45" t="n">
        <v>4</v>
      </c>
      <c r="S45" t="n">
        <v>0</v>
      </c>
      <c r="T45" t="n">
        <v>0</v>
      </c>
      <c r="U45" t="n">
        <v>0</v>
      </c>
      <c r="V45" t="n">
        <v>6081.3</v>
      </c>
      <c r="W45" t="n">
        <v>45757</v>
      </c>
      <c r="X45" t="n">
        <v>1372</v>
      </c>
      <c r="Y45">
        <f>IF(ISNUMBER($W45),$W45,0)</f>
        <v/>
      </c>
      <c r="Z45">
        <f>IF(ISNUMBER(SEARCH("Adjustment",$C45)),"excluded",IF($H45="Behind the Meter","excluded",IF(NOT(OR($E45="Bundled",$E45="Energy")),"excluded",IF(OR($H45="Retail Power Marketer",$H45="Community Choice Aggregator",$E45="Energy"),"procurement",IF(OR($H45="Municipal",$H45="Cooperative",$H45="Federal",$H45="State",$H45="Political Subdivision"),"cost_service",IF($H45="Investor Owned",IF(AND(COUNTIF(Parameters!$A$4:$A$33,$G45)&gt;0,COUNTIF(Parameters!$B$4:$B$33,$B45)=0),"procurement","cost_service"),"unclassified"))))))</f>
        <v/>
      </c>
    </row>
    <row r="46">
      <c r="A46" t="n">
        <v>2024</v>
      </c>
      <c r="B46" t="n">
        <v>99999</v>
      </c>
      <c r="C46" t="inlineStr">
        <is>
          <t>Adjustment 2024</t>
        </is>
      </c>
      <c r="D46" t="inlineStr">
        <is>
          <t>A</t>
        </is>
      </c>
      <c r="E46" t="inlineStr">
        <is>
          <t>Bundled</t>
        </is>
      </c>
      <c r="F46" t="inlineStr">
        <is>
          <t>I</t>
        </is>
      </c>
      <c r="G46" t="inlineStr">
        <is>
          <t>MS</t>
        </is>
      </c>
      <c r="H46" t="inlineStr"/>
      <c r="I46" t="inlineStr">
        <is>
          <t>MISO</t>
        </is>
      </c>
      <c r="J46" t="n">
        <v>54018</v>
      </c>
      <c r="K46" t="n">
        <v>404519</v>
      </c>
      <c r="L46" t="n">
        <v>35288</v>
      </c>
      <c r="M46" t="n">
        <v>31308.2</v>
      </c>
      <c r="N46" t="n">
        <v>237114</v>
      </c>
      <c r="O46" t="n">
        <v>7060</v>
      </c>
      <c r="P46" t="n">
        <v>17158.1</v>
      </c>
      <c r="Q46" t="n">
        <v>135701</v>
      </c>
      <c r="R46" t="n">
        <v>1758</v>
      </c>
      <c r="S46" t="n">
        <v>0</v>
      </c>
      <c r="T46" t="n">
        <v>0</v>
      </c>
      <c r="U46" t="n">
        <v>0</v>
      </c>
      <c r="V46" t="n">
        <v>102484.3</v>
      </c>
      <c r="W46" t="n">
        <v>777334</v>
      </c>
      <c r="X46" t="n">
        <v>44106</v>
      </c>
      <c r="Y46">
        <f>IF(ISNUMBER($W46),$W46,0)</f>
        <v/>
      </c>
      <c r="Z46">
        <f>IF(ISNUMBER(SEARCH("Adjustment",$C46)),"excluded",IF($H46="Behind the Meter","excluded",IF(NOT(OR($E46="Bundled",$E46="Energy")),"excluded",IF(OR($H46="Retail Power Marketer",$H46="Community Choice Aggregator",$E46="Energy"),"procurement",IF(OR($H46="Municipal",$H46="Cooperative",$H46="Federal",$H46="State",$H46="Political Subdivision"),"cost_service",IF($H46="Investor Owned",IF(AND(COUNTIF(Parameters!$A$4:$A$33,$G46)&gt;0,COUNTIF(Parameters!$B$4:$B$33,$B46)=0),"procurement","cost_service"),"unclassified"))))))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MS</t>
        </is>
      </c>
      <c r="B2">
        <f>SUMIFS('EIA-861 Sales 2024'!$Y$4:$Y$46,'EIA-861 Sales 2024'!$Z$4:$Z$46,"cost_service")</f>
        <v/>
      </c>
      <c r="C2">
        <f>SUMIFS('EIA-861 Sales 2024'!$Y$4:$Y$46,'EIA-861 Sales 2024'!$Z$4:$Z$46,"procurement")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2026-06-02T20:15:30Z</dcterms:created>
  <dcterms:modified xmlns:dcterms="http://purl.org/dc/terms/" xmlns:xsi="http://www.w3.org/2001/XMLSchema-instance" xsi:type="dcterms:W3CDTF">2026-06-02T20:15:30Z</dcterms:modified>
</cp:coreProperties>
</file>