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SYTaDC\"/>
    </mc:Choice>
  </mc:AlternateContent>
  <xr:revisionPtr revIDLastSave="0" documentId="8_{BE868319-BDE1-4087-9716-EAE57E566C4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<sst xmlns="http://schemas.openxmlformats.org/spreadsheetml/2006/main" count="264" uniqueCount="144">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</sst>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64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MS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Mississippi</v>
      </c>
    </row>
    <row r="44" spans="1:42" x14ac:dyDescent="0.25">
      <c r="A44" t="s">
        <v>143</v>
      </c>
      <c r="B44" s="15">
        <f>SUMIFS('HIFLD Outputs'!$F$2:$F$49,'HIFLD Outputs'!$B$2:$B$49,'Data National'!$A$43)*B34</f>
        <v>2561213.1416905806</v>
      </c>
      <c r="C44" s="15">
        <f>SUMIFS('HIFLD Outputs'!$F$2:$F$49,'HIFLD Outputs'!$B$2:$B$49,'Data National'!$A$43)*C34</f>
        <v>2563159.3522845707</v>
      </c>
      <c r="D44" s="15">
        <f>SUMIFS('HIFLD Outputs'!$F$2:$F$49,'HIFLD Outputs'!$B$2:$B$49,'Data National'!$A$43)*D34</f>
        <v>2565105.5628785603</v>
      </c>
      <c r="E44" s="15">
        <f>SUMIFS('HIFLD Outputs'!$F$2:$F$49,'HIFLD Outputs'!$B$2:$B$49,'Data National'!$A$43)*E34</f>
        <v>2567051.7734725503</v>
      </c>
      <c r="F44" s="15">
        <f>SUMIFS('HIFLD Outputs'!$F$2:$F$49,'HIFLD Outputs'!$B$2:$B$49,'Data National'!$A$43)*F34</f>
        <v>2568997.9840665399</v>
      </c>
      <c r="G44" s="15">
        <f>SUMIFS('HIFLD Outputs'!$F$2:$F$49,'HIFLD Outputs'!$B$2:$B$49,'Data National'!$A$43)*G34</f>
        <v>2570944.19466053</v>
      </c>
      <c r="H44" s="15">
        <f>SUMIFS('HIFLD Outputs'!$F$2:$F$49,'HIFLD Outputs'!$B$2:$B$49,'Data National'!$A$43)*H34</f>
        <v>2572890.40525452</v>
      </c>
      <c r="I44" s="15">
        <f>SUMIFS('HIFLD Outputs'!$F$2:$F$49,'HIFLD Outputs'!$B$2:$B$49,'Data National'!$A$43)*I34</f>
        <v>2574836.6158485096</v>
      </c>
      <c r="J44" s="15">
        <f>SUMIFS('HIFLD Outputs'!$F$2:$F$49,'HIFLD Outputs'!$B$2:$B$49,'Data National'!$A$43)*J34</f>
        <v>2576782.8264424996</v>
      </c>
      <c r="K44" s="15">
        <f>SUMIFS('HIFLD Outputs'!$F$2:$F$49,'HIFLD Outputs'!$B$2:$B$49,'Data National'!$A$43)*K34</f>
        <v>2578729.0370364892</v>
      </c>
      <c r="L44" s="15">
        <f>SUMIFS('HIFLD Outputs'!$F$2:$F$49,'HIFLD Outputs'!$B$2:$B$49,'Data National'!$A$43)*L34</f>
        <v>2580675.2476304793</v>
      </c>
      <c r="M44" s="15">
        <f>SUMIFS('HIFLD Outputs'!$F$2:$F$49,'HIFLD Outputs'!$B$2:$B$49,'Data National'!$A$43)*M34</f>
        <v>2582621.4582244689</v>
      </c>
      <c r="N44" s="15">
        <f>SUMIFS('HIFLD Outputs'!$F$2:$F$49,'HIFLD Outputs'!$B$2:$B$49,'Data National'!$A$43)*N34</f>
        <v>2584567.6688184589</v>
      </c>
      <c r="O44" s="15">
        <f>SUMIFS('HIFLD Outputs'!$F$2:$F$49,'HIFLD Outputs'!$B$2:$B$49,'Data National'!$A$43)*O34</f>
        <v>2586513.879412449</v>
      </c>
      <c r="P44" s="15">
        <f>SUMIFS('HIFLD Outputs'!$F$2:$F$49,'HIFLD Outputs'!$B$2:$B$49,'Data National'!$A$43)*P34</f>
        <v>2588460.0900064385</v>
      </c>
      <c r="Q44" s="15">
        <f>SUMIFS('HIFLD Outputs'!$F$2:$F$49,'HIFLD Outputs'!$B$2:$B$49,'Data National'!$A$43)*Q34</f>
        <v>2590406.3006004286</v>
      </c>
      <c r="R44" s="15">
        <f>SUMIFS('HIFLD Outputs'!$F$2:$F$49,'HIFLD Outputs'!$B$2:$B$49,'Data National'!$A$43)*R34</f>
        <v>2592352.5111944182</v>
      </c>
      <c r="S44" s="15">
        <f>SUMIFS('HIFLD Outputs'!$F$2:$F$49,'HIFLD Outputs'!$B$2:$B$49,'Data National'!$A$43)*S34</f>
        <v>2594298.7217884082</v>
      </c>
      <c r="T44" s="15">
        <f>SUMIFS('HIFLD Outputs'!$F$2:$F$49,'HIFLD Outputs'!$B$2:$B$49,'Data National'!$A$43)*T34</f>
        <v>2596244.9323823978</v>
      </c>
      <c r="U44" s="15">
        <f>SUMIFS('HIFLD Outputs'!$F$2:$F$49,'HIFLD Outputs'!$B$2:$B$49,'Data National'!$A$43)*U34</f>
        <v>2598191.1429763879</v>
      </c>
      <c r="V44" s="15">
        <f>SUMIFS('HIFLD Outputs'!$F$2:$F$49,'HIFLD Outputs'!$B$2:$B$49,'Data National'!$A$43)*V34</f>
        <v>2600137.3535703779</v>
      </c>
      <c r="W44" s="15">
        <f>SUMIFS('HIFLD Outputs'!$F$2:$F$49,'HIFLD Outputs'!$B$2:$B$49,'Data National'!$A$43)*W34</f>
        <v>2602083.5641643675</v>
      </c>
      <c r="X44" s="15">
        <f>SUMIFS('HIFLD Outputs'!$F$2:$F$49,'HIFLD Outputs'!$B$2:$B$49,'Data National'!$A$43)*X34</f>
        <v>2604029.7747583576</v>
      </c>
      <c r="Y44" s="15">
        <f>SUMIFS('HIFLD Outputs'!$F$2:$F$49,'HIFLD Outputs'!$B$2:$B$49,'Data National'!$A$43)*Y34</f>
        <v>2605975.9853523471</v>
      </c>
      <c r="Z44" s="15">
        <f>SUMIFS('HIFLD Outputs'!$F$2:$F$49,'HIFLD Outputs'!$B$2:$B$49,'Data National'!$A$43)*Z34</f>
        <v>2607922.1959463372</v>
      </c>
      <c r="AA44" s="15">
        <f>SUMIFS('HIFLD Outputs'!$F$2:$F$49,'HIFLD Outputs'!$B$2:$B$49,'Data National'!$A$43)*AA34</f>
        <v>2609868.4065403268</v>
      </c>
      <c r="AB44" s="15">
        <f>SUMIFS('HIFLD Outputs'!$F$2:$F$49,'HIFLD Outputs'!$B$2:$B$49,'Data National'!$A$43)*AB34</f>
        <v>2611814.6171343168</v>
      </c>
      <c r="AC44" s="15">
        <f>SUMIFS('HIFLD Outputs'!$F$2:$F$49,'HIFLD Outputs'!$B$2:$B$49,'Data National'!$A$43)*AC34</f>
        <v>2613760.8277283069</v>
      </c>
      <c r="AD44" s="15">
        <f>SUMIFS('HIFLD Outputs'!$F$2:$F$49,'HIFLD Outputs'!$B$2:$B$49,'Data National'!$A$43)*AD34</f>
        <v>2615707.0383222965</v>
      </c>
      <c r="AE44" s="15">
        <f>SUMIFS('HIFLD Outputs'!$F$2:$F$49,'HIFLD Outputs'!$B$2:$B$49,'Data National'!$A$43)*AE34</f>
        <v>2617653.2489162865</v>
      </c>
      <c r="AF44" s="15">
        <f>SUMIFS('HIFLD Outputs'!$F$2:$F$49,'HIFLD Outputs'!$B$2:$B$49,'Data National'!$A$43)*AF34</f>
        <v>2619599.4595102761</v>
      </c>
      <c r="AG44" s="15">
        <f>SUMIFS('HIFLD Outputs'!$F$2:$F$49,'HIFLD Outputs'!$B$2:$B$49,'Data National'!$A$43)*AG34</f>
        <v>2621545.6701042661</v>
      </c>
      <c r="AH44" s="15">
        <f>SUMIFS('HIFLD Outputs'!$F$2:$F$49,'HIFLD Outputs'!$B$2:$B$49,'Data National'!$A$43)*AH34</f>
        <v>2623491.8806982557</v>
      </c>
      <c r="AI44" s="15">
        <f>SUMIFS('HIFLD Outputs'!$F$2:$F$49,'HIFLD Outputs'!$B$2:$B$49,'Data National'!$A$43)*AI34</f>
        <v>2625438.0912922458</v>
      </c>
      <c r="AJ44" s="15">
        <f>SUMIFS('HIFLD Outputs'!$F$2:$F$49,'HIFLD Outputs'!$B$2:$B$49,'Data National'!$A$43)*AJ34</f>
        <v>2627384.3018862358</v>
      </c>
      <c r="AK44" s="15">
        <f>SUMIFS('HIFLD Outputs'!$F$2:$F$49,'HIFLD Outputs'!$B$2:$B$49,'Data National'!$A$43)*AK34</f>
        <v>2629330.5124802254</v>
      </c>
      <c r="AL44" s="15">
        <f>SUMIFS('HIFLD Outputs'!$F$2:$F$49,'HIFLD Outputs'!$B$2:$B$49,'Data National'!$A$43)*AL34</f>
        <v>2631276.7230742155</v>
      </c>
      <c r="AM44" s="15">
        <f>SUMIFS('HIFLD Outputs'!$F$2:$F$49,'HIFLD Outputs'!$B$2:$B$49,'Data National'!$A$43)*AM34</f>
        <v>2633222.933668205</v>
      </c>
      <c r="AN44" s="15">
        <f>SUMIFS('HIFLD Outputs'!$F$2:$F$49,'HIFLD Outputs'!$B$2:$B$49,'Data National'!$A$43)*AN34</f>
        <v>2635169.1442621951</v>
      </c>
      <c r="AO44" s="15">
        <f>SUMIFS('HIFLD Outputs'!$F$2:$F$49,'HIFLD Outputs'!$B$2:$B$49,'Data National'!$A$43)*AO34</f>
        <v>2637115.3548561847</v>
      </c>
      <c r="AP44" s="15">
        <f>SUMIFS('HIFLD Outputs'!$F$2:$F$49,'HIFLD Outputs'!$B$2:$B$49,'Data National'!$A$43)*AP34</f>
        <v>2639061.5654501747</v>
      </c>
    </row>
    <row r="45" spans="1:42" x14ac:dyDescent="0.25">
      <c r="A45" s="16" t="s">
        <v>15</v>
      </c>
      <c r="B45" s="17">
        <f>B37*SUMIFS('HIFLD Outputs'!$F$2:$F$49,'HIFLD Outputs'!$B$2:$B$49,$A$43)</f>
        <v>205851996.74998072</v>
      </c>
    </row>
    <row r="46" spans="1:42" x14ac:dyDescent="0.25">
      <c r="A46" s="16" t="s">
        <v>14</v>
      </c>
      <c r="B46" s="17">
        <f>B38*SUMIFS('HIFLD Outputs'!$F$2:$F$49,'HIFLD Outputs'!$B$2:$B$49,$A$43)</f>
        <v>323658862.35990942</v>
      </c>
    </row>
    <row r="47" spans="1:42" x14ac:dyDescent="0.25">
      <c r="A47" s="16" t="s">
        <v>16</v>
      </c>
      <c r="B47" s="17">
        <f>B39*SUMIFS('HIFLD Outputs'!$F$2:$F$49,'HIFLD Outputs'!$B$2:$B$49,$A$43)</f>
        <v>291416983.35087627</v>
      </c>
    </row>
    <row r="48" spans="1:42" x14ac:dyDescent="0.25">
      <c r="A48" s="16" t="s">
        <v>17</v>
      </c>
      <c r="B48" s="17">
        <f>B40*SUMIFS('HIFLD Outputs'!$F$2:$F$49,'HIFLD Outputs'!$B$2:$B$49,$A$43)</f>
        <v>389382692.64755386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205851996.74998072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323658862.35990942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291416983.35087627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389382692.64755386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2026-06-12T20:49:29Z</dcterms:modified>
</cp:coreProperties>
</file>