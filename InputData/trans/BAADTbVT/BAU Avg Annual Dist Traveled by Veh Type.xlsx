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AADTbVT\"/>
    </mc:Choice>
  </mc:AlternateContent>
  <xr:revisionPtr revIDLastSave="0" documentId="8_{F53CA35D-0446-41CF-8E4F-778C1FE02CE3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<sst xmlns="http://schemas.openxmlformats.org/spreadsheetml/2006/main" count="55499" uniqueCount="1966">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</sst>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115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MS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6907000000000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101097000000000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196924000000000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2103000000000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125342006070460.7</v>
      </c>
      <c r="F21" s="26">
        <f t="shared" ref="F21" si="0">IFERROR(F101*F117*F132/F86,0)</f>
        <v>932732248227.01123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324073126901.94299</v>
      </c>
      <c r="F22" s="33">
        <f t="shared" si="1"/>
        <v>2122418358724.5442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1976406455308.1096</v>
      </c>
      <c r="F25" s="90">
        <f t="shared" si="1"/>
        <v>481813618139.55054</v>
      </c>
      <c r="G25" s="22"/>
    </row>
    <row r="26" spans="2:9">
      <c r="D26" s="23" t="s">
        <v>43</v>
      </c>
      <c r="E26" s="28">
        <f t="shared" si="1"/>
        <v>186507419854.90436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3455006904178.6299</v>
      </c>
      <c r="F27" s="29">
        <f t="shared" si="1"/>
        <v>3075893141604.6025</v>
      </c>
      <c r="G27" s="20"/>
    </row>
    <row r="28" spans="2:9">
      <c r="D28" s="21" t="s">
        <v>50</v>
      </c>
      <c r="E28" s="33">
        <f t="shared" si="1"/>
        <v>301641264397.29846</v>
      </c>
      <c r="F28" s="33">
        <f t="shared" si="1"/>
        <v>38658767995804.695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2053805285432.2153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131585641241101.58</v>
      </c>
      <c r="F32" s="92">
        <f t="shared" ref="F32:G32" si="2">SUM(F21:F31)</f>
        <v>47366483927895.531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0.95255078660747794</v>
      </c>
      <c r="F37" s="94">
        <f t="shared" ref="F37:G37" si="3">F21/F$32</f>
        <v>1.9691819423347516E-2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2.4628304718153152E-3</v>
      </c>
      <c r="F38" s="110">
        <f t="shared" ref="F38:G47" si="5">F22/F$32</f>
        <v>4.4808442230067851E-2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1.5019924945205701E-2</v>
      </c>
      <c r="F41" s="37">
        <f t="shared" si="5"/>
        <v>1.0172036811366447E-2</v>
      </c>
      <c r="G41" s="96">
        <f t="shared" si="5"/>
        <v>0</v>
      </c>
    </row>
    <row r="42" spans="3:41">
      <c r="D42" s="23" t="s">
        <v>43</v>
      </c>
      <c r="E42" s="113">
        <f t="shared" si="4"/>
        <v>1.4173842836937714E-3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2.6256716702456113E-2</v>
      </c>
      <c r="F43" s="94">
        <f t="shared" si="5"/>
        <v>6.4938177515707837E-2</v>
      </c>
      <c r="G43" s="95">
        <f t="shared" si="5"/>
        <v>0</v>
      </c>
    </row>
    <row r="44" spans="3:41">
      <c r="D44" s="21" t="s">
        <v>50</v>
      </c>
      <c r="E44" s="37">
        <f t="shared" si="4"/>
        <v>2.2923569893511979E-3</v>
      </c>
      <c r="F44" s="110">
        <f t="shared" si="5"/>
        <v>0.81616292344294938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4.3359884777570926E-2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8.6671579898993595E-4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0.99999999999999978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187580111101891</v>
      </c>
      <c r="F53" s="89">
        <f>F37*$E$12</f>
        <v>1990783868242.1638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484990427831.75909</v>
      </c>
      <c r="F54" s="100">
        <f t="shared" ref="F54:F62" si="8">F38*$E$12</f>
        <v>4529999084133.1699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6907000000000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2957783699909.6875</v>
      </c>
      <c r="F57" s="100">
        <f t="shared" si="8"/>
        <v>1028362405518.7136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279116982682.11224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5170577679914.4678</v>
      </c>
      <c r="F59" s="89">
        <f t="shared" si="8"/>
        <v>6565054932305.5156</v>
      </c>
      <c r="G59" s="99">
        <f t="shared" si="9"/>
        <v>0</v>
      </c>
    </row>
    <row r="60" spans="3:41">
      <c r="D60" s="21" t="s">
        <v>50</v>
      </c>
      <c r="E60" s="100">
        <f t="shared" si="7"/>
        <v>451420107770.9953</v>
      </c>
      <c r="F60" s="100">
        <f t="shared" si="8"/>
        <v>82511623071311.859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4383554271358.0879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2190622367130.4856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16991.786299108833</v>
      </c>
      <c r="F69" s="104">
        <f t="shared" si="10"/>
        <v>24233.492605179286</v>
      </c>
      <c r="G69" s="105">
        <f t="shared" si="10"/>
        <v>0</v>
      </c>
    </row>
    <row r="70" spans="2:41">
      <c r="D70" s="21" t="s">
        <v>51</v>
      </c>
      <c r="E70" s="78">
        <f t="shared" si="10"/>
        <v>24484.993450741556</v>
      </c>
      <c r="F70" s="117">
        <f t="shared" si="10"/>
        <v>34920.219527332949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787073.94576824096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290.32997551762497</v>
      </c>
      <c r="F73" s="78">
        <f t="shared" si="10"/>
        <v>414.06531314116444</v>
      </c>
      <c r="G73" s="106">
        <f t="shared" si="10"/>
        <v>0</v>
      </c>
    </row>
    <row r="74" spans="2:41">
      <c r="D74" s="23" t="s">
        <v>43</v>
      </c>
      <c r="E74" s="119">
        <f t="shared" si="10"/>
        <v>13165.117498085294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14661.663763640057</v>
      </c>
      <c r="F75" s="104">
        <f t="shared" si="10"/>
        <v>20910.298313628809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52670.945816200052</v>
      </c>
      <c r="F76" s="117">
        <f t="shared" si="10"/>
        <v>75118.70461857364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36294.745618378882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2694783.8412324162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2036780</v>
      </c>
      <c r="F101" s="76">
        <f>SUMIFS('all_csv_SYVbT-passenger'!F:F,'all_csv_SYVbT-passenger'!$B:$B,$D101,'all_csv_SYVbT-passenger'!$A:$A,About!$B$2)</f>
        <v>17195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796</v>
      </c>
      <c r="F102" s="78">
        <f>SUMIFS('all_csv_SYVbT-passenger'!F:F,'all_csv_SYVbT-passenger'!$B:$B,$D102,'all_csv_SYVbT-passenger'!$A:$A,About!$B$2)</f>
        <v>6323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120952</v>
      </c>
      <c r="F105" s="78">
        <f>SUMIFS('all_csv_SYVbT-passenger'!F:F,'all_csv_SYVbT-passenger'!$B:$B,$D105,'all_csv_SYVbT-passenger'!$A:$A,About!$B$2)</f>
        <v>29486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30421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32911</v>
      </c>
      <c r="F107" s="194">
        <f>SUMIFS('all_csv_SYVbT-freight'!F:F,'all_csv_SYVbT-freight'!$B:$B,$D107,'all_csv_SYVbT-freight'!$A:$A,About!$B$2)</f>
        <v>28128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360</v>
      </c>
      <c r="F108" s="197">
        <f>SUMIFS('all_csv_SYVbT-freight'!F:F,'all_csv_SYVbT-freight'!$B:$B,$D108,'all_csv_SYVbT-freight'!$A:$A,About!$B$2)</f>
        <v>51529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116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187580111101891</v>
      </c>
      <c r="F149" s="26">
        <f t="shared" si="18"/>
        <v>1990783868242.1638</v>
      </c>
      <c r="G149" s="20"/>
    </row>
    <row r="150" spans="2:7">
      <c r="D150" s="21" t="s">
        <v>51</v>
      </c>
      <c r="E150" s="33">
        <f t="shared" si="18"/>
        <v>484990427831.75909</v>
      </c>
      <c r="F150" s="33">
        <f t="shared" si="18"/>
        <v>4529999084133.1689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6906999999999.999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2957783699909.6875</v>
      </c>
      <c r="F153" s="90">
        <f t="shared" si="18"/>
        <v>1028362405518.7136</v>
      </c>
      <c r="G153" s="22"/>
    </row>
    <row r="154" spans="2:7">
      <c r="D154" s="23" t="s">
        <v>43</v>
      </c>
      <c r="E154" s="28">
        <f t="shared" si="18"/>
        <v>279116982682.1123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5170577679914.4678</v>
      </c>
      <c r="F155" s="29">
        <f t="shared" si="18"/>
        <v>6565054932305.5156</v>
      </c>
      <c r="G155" s="20"/>
    </row>
    <row r="156" spans="2:7">
      <c r="D156" s="21" t="s">
        <v>50</v>
      </c>
      <c r="E156" s="33">
        <f t="shared" si="18"/>
        <v>451420107770.9953</v>
      </c>
      <c r="F156" s="33">
        <f t="shared" si="18"/>
        <v>82511623071311.859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4383554271358.0879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2190622367130.4856</v>
      </c>
      <c r="G159" s="24"/>
    </row>
    <row r="160" spans="2:7">
      <c r="D160" s="91" t="s">
        <v>1548</v>
      </c>
      <c r="E160" s="92">
        <f>SUM(E149:E159)</f>
        <v>196924000000000.03</v>
      </c>
      <c r="F160" s="92">
        <f>SUM(F149:F159)</f>
        <v>103200000000000</v>
      </c>
      <c r="G160" s="92">
        <f t="shared" ref="G160" si="19">SUM(G149:G159)</f>
        <v>6906999999999.999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0.99999999999999989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16991.786299108833</v>
      </c>
    </row>
    <row r="3" spans="1:2">
      <c r="A3" t="s">
        <v>39</v>
      </c>
      <c r="B3" s="8">
        <f>'BAADTbVT-passengers'!D3</f>
        <v>34920.219527332949</v>
      </c>
    </row>
    <row r="4" spans="1:2">
      <c r="A4" t="s">
        <v>40</v>
      </c>
      <c r="B4" s="8">
        <f>'BAADTbVT-passengers'!D4</f>
        <v>787073.94576824096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290.32997551762497</v>
      </c>
    </row>
    <row r="7" spans="1:2">
      <c r="A7" t="s">
        <v>43</v>
      </c>
      <c r="B7" s="8">
        <f>'BAADTbVT-passengers'!D7</f>
        <v>13165.117498085294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14661.663763640057</v>
      </c>
    </row>
    <row r="3" spans="1:2">
      <c r="A3" t="s">
        <v>39</v>
      </c>
      <c r="B3">
        <f>'BAADTbVT-freight'!D3</f>
        <v>75118.70461857364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36294.745618378882</v>
      </c>
    </row>
    <row r="6" spans="1:2">
      <c r="A6" t="s">
        <v>42</v>
      </c>
      <c r="B6" s="212">
        <f>'BAADTbVT-freight'!D6</f>
        <v>2694783.8412324162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16991.786299108833</v>
      </c>
      <c r="C2" s="8">
        <f t="shared" ref="C2:L3" si="0">$B2</f>
        <v>16991.786299108833</v>
      </c>
      <c r="D2" s="8">
        <f t="shared" si="0"/>
        <v>16991.786299108833</v>
      </c>
      <c r="E2" s="8">
        <f t="shared" si="0"/>
        <v>16991.786299108833</v>
      </c>
      <c r="F2" s="8">
        <f t="shared" si="0"/>
        <v>16991.786299108833</v>
      </c>
      <c r="G2" s="8">
        <f t="shared" si="0"/>
        <v>16991.786299108833</v>
      </c>
      <c r="H2" s="8">
        <f t="shared" si="0"/>
        <v>16991.786299108833</v>
      </c>
      <c r="I2" s="8">
        <f t="shared" si="0"/>
        <v>16991.786299108833</v>
      </c>
      <c r="J2" s="8">
        <f t="shared" si="0"/>
        <v>16991.786299108833</v>
      </c>
      <c r="K2" s="8">
        <f t="shared" si="0"/>
        <v>16991.786299108833</v>
      </c>
      <c r="L2" s="8">
        <f t="shared" si="0"/>
        <v>16991.786299108833</v>
      </c>
      <c r="M2" s="8">
        <f t="shared" ref="M2:V3" si="1">$B2</f>
        <v>16991.786299108833</v>
      </c>
      <c r="N2" s="8">
        <f t="shared" si="1"/>
        <v>16991.786299108833</v>
      </c>
      <c r="O2" s="8">
        <f t="shared" si="1"/>
        <v>16991.786299108833</v>
      </c>
      <c r="P2" s="8">
        <f t="shared" si="1"/>
        <v>16991.786299108833</v>
      </c>
      <c r="Q2" s="8">
        <f t="shared" si="1"/>
        <v>16991.786299108833</v>
      </c>
      <c r="R2" s="8">
        <f t="shared" si="1"/>
        <v>16991.786299108833</v>
      </c>
      <c r="S2" s="8">
        <f t="shared" si="1"/>
        <v>16991.786299108833</v>
      </c>
      <c r="T2" s="8">
        <f t="shared" si="1"/>
        <v>16991.786299108833</v>
      </c>
      <c r="U2" s="8">
        <f t="shared" si="1"/>
        <v>16991.786299108833</v>
      </c>
      <c r="V2" s="8">
        <f t="shared" si="1"/>
        <v>16991.786299108833</v>
      </c>
      <c r="W2" s="8">
        <f t="shared" ref="W2:AB3" si="2">$B2</f>
        <v>16991.786299108833</v>
      </c>
      <c r="X2" s="8">
        <f t="shared" si="2"/>
        <v>16991.786299108833</v>
      </c>
      <c r="Y2" s="8">
        <f t="shared" si="2"/>
        <v>16991.786299108833</v>
      </c>
      <c r="Z2" s="8">
        <f t="shared" si="2"/>
        <v>16991.786299108833</v>
      </c>
      <c r="AA2" s="8">
        <f t="shared" si="2"/>
        <v>16991.786299108833</v>
      </c>
      <c r="AB2" s="8">
        <f t="shared" si="2"/>
        <v>16991.786299108833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34920.219527332949</v>
      </c>
      <c r="C3" s="8">
        <f t="shared" si="0"/>
        <v>34920.219527332949</v>
      </c>
      <c r="D3" s="8">
        <f t="shared" si="0"/>
        <v>34920.219527332949</v>
      </c>
      <c r="E3" s="8">
        <f t="shared" si="0"/>
        <v>34920.219527332949</v>
      </c>
      <c r="F3" s="8">
        <f t="shared" si="0"/>
        <v>34920.219527332949</v>
      </c>
      <c r="G3" s="8">
        <f t="shared" si="0"/>
        <v>34920.219527332949</v>
      </c>
      <c r="H3" s="8">
        <f t="shared" si="0"/>
        <v>34920.219527332949</v>
      </c>
      <c r="I3" s="8">
        <f t="shared" si="0"/>
        <v>34920.219527332949</v>
      </c>
      <c r="J3" s="8">
        <f t="shared" si="0"/>
        <v>34920.219527332949</v>
      </c>
      <c r="K3" s="8">
        <f t="shared" si="0"/>
        <v>34920.219527332949</v>
      </c>
      <c r="L3" s="8">
        <f t="shared" si="0"/>
        <v>34920.219527332949</v>
      </c>
      <c r="M3" s="8">
        <f t="shared" si="1"/>
        <v>34920.219527332949</v>
      </c>
      <c r="N3" s="8">
        <f t="shared" si="1"/>
        <v>34920.219527332949</v>
      </c>
      <c r="O3" s="8">
        <f t="shared" si="1"/>
        <v>34920.219527332949</v>
      </c>
      <c r="P3" s="8">
        <f t="shared" si="1"/>
        <v>34920.219527332949</v>
      </c>
      <c r="Q3" s="8">
        <f t="shared" si="1"/>
        <v>34920.219527332949</v>
      </c>
      <c r="R3" s="8">
        <f t="shared" si="1"/>
        <v>34920.219527332949</v>
      </c>
      <c r="S3" s="8">
        <f t="shared" si="1"/>
        <v>34920.219527332949</v>
      </c>
      <c r="T3" s="8">
        <f t="shared" si="1"/>
        <v>34920.219527332949</v>
      </c>
      <c r="U3" s="8">
        <f t="shared" si="1"/>
        <v>34920.219527332949</v>
      </c>
      <c r="V3" s="8">
        <f t="shared" si="1"/>
        <v>34920.219527332949</v>
      </c>
      <c r="W3" s="8">
        <f t="shared" si="2"/>
        <v>34920.219527332949</v>
      </c>
      <c r="X3" s="8">
        <f t="shared" si="2"/>
        <v>34920.219527332949</v>
      </c>
      <c r="Y3" s="8">
        <f t="shared" si="2"/>
        <v>34920.219527332949</v>
      </c>
      <c r="Z3" s="8">
        <f t="shared" si="2"/>
        <v>34920.219527332949</v>
      </c>
      <c r="AA3" s="8">
        <f t="shared" si="2"/>
        <v>34920.219527332949</v>
      </c>
      <c r="AB3" s="8">
        <f t="shared" si="2"/>
        <v>34920.219527332949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787073.94576824096</v>
      </c>
      <c r="C4" s="8">
        <f t="shared" ref="C4:AB4" si="3">$B$4</f>
        <v>787073.94576824096</v>
      </c>
      <c r="D4" s="8">
        <f t="shared" si="3"/>
        <v>787073.94576824096</v>
      </c>
      <c r="E4" s="8">
        <f t="shared" si="3"/>
        <v>787073.94576824096</v>
      </c>
      <c r="F4" s="8">
        <f t="shared" si="3"/>
        <v>787073.94576824096</v>
      </c>
      <c r="G4" s="8">
        <f t="shared" si="3"/>
        <v>787073.94576824096</v>
      </c>
      <c r="H4" s="8">
        <f t="shared" si="3"/>
        <v>787073.94576824096</v>
      </c>
      <c r="I4" s="8">
        <f t="shared" si="3"/>
        <v>787073.94576824096</v>
      </c>
      <c r="J4" s="8">
        <f t="shared" si="3"/>
        <v>787073.94576824096</v>
      </c>
      <c r="K4" s="8">
        <f t="shared" si="3"/>
        <v>787073.94576824096</v>
      </c>
      <c r="L4" s="8">
        <f t="shared" si="3"/>
        <v>787073.94576824096</v>
      </c>
      <c r="M4" s="8">
        <f t="shared" si="3"/>
        <v>787073.94576824096</v>
      </c>
      <c r="N4" s="8">
        <f t="shared" si="3"/>
        <v>787073.94576824096</v>
      </c>
      <c r="O4" s="8">
        <f t="shared" si="3"/>
        <v>787073.94576824096</v>
      </c>
      <c r="P4" s="8">
        <f t="shared" si="3"/>
        <v>787073.94576824096</v>
      </c>
      <c r="Q4" s="8">
        <f t="shared" si="3"/>
        <v>787073.94576824096</v>
      </c>
      <c r="R4" s="8">
        <f t="shared" si="3"/>
        <v>787073.94576824096</v>
      </c>
      <c r="S4" s="8">
        <f t="shared" si="3"/>
        <v>787073.94576824096</v>
      </c>
      <c r="T4" s="8">
        <f t="shared" si="3"/>
        <v>787073.94576824096</v>
      </c>
      <c r="U4" s="8">
        <f t="shared" si="3"/>
        <v>787073.94576824096</v>
      </c>
      <c r="V4" s="8">
        <f t="shared" si="3"/>
        <v>787073.94576824096</v>
      </c>
      <c r="W4" s="8">
        <f t="shared" si="3"/>
        <v>787073.94576824096</v>
      </c>
      <c r="X4" s="8">
        <f t="shared" si="3"/>
        <v>787073.94576824096</v>
      </c>
      <c r="Y4" s="8">
        <f t="shared" si="3"/>
        <v>787073.94576824096</v>
      </c>
      <c r="Z4" s="8">
        <f t="shared" si="3"/>
        <v>787073.94576824096</v>
      </c>
      <c r="AA4" s="8">
        <f t="shared" si="3"/>
        <v>787073.94576824096</v>
      </c>
      <c r="AB4" s="8">
        <f t="shared" si="3"/>
        <v>787073.94576824096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290.32997551762497</v>
      </c>
      <c r="C6" s="8">
        <f t="shared" si="4"/>
        <v>290.32997551762497</v>
      </c>
      <c r="D6" s="8">
        <f t="shared" si="4"/>
        <v>290.32997551762497</v>
      </c>
      <c r="E6" s="8">
        <f t="shared" si="4"/>
        <v>290.32997551762497</v>
      </c>
      <c r="F6" s="8">
        <f t="shared" si="4"/>
        <v>290.32997551762497</v>
      </c>
      <c r="G6" s="8">
        <f t="shared" si="4"/>
        <v>290.32997551762497</v>
      </c>
      <c r="H6" s="8">
        <f t="shared" si="4"/>
        <v>290.32997551762497</v>
      </c>
      <c r="I6" s="8">
        <f t="shared" si="4"/>
        <v>290.32997551762497</v>
      </c>
      <c r="J6" s="8">
        <f t="shared" si="4"/>
        <v>290.32997551762497</v>
      </c>
      <c r="K6" s="8">
        <f t="shared" si="4"/>
        <v>290.32997551762497</v>
      </c>
      <c r="L6" s="8">
        <f t="shared" si="4"/>
        <v>290.32997551762497</v>
      </c>
      <c r="M6" s="8">
        <f t="shared" si="5"/>
        <v>290.32997551762497</v>
      </c>
      <c r="N6" s="8">
        <f t="shared" si="5"/>
        <v>290.32997551762497</v>
      </c>
      <c r="O6" s="8">
        <f t="shared" si="5"/>
        <v>290.32997551762497</v>
      </c>
      <c r="P6" s="8">
        <f t="shared" si="5"/>
        <v>290.32997551762497</v>
      </c>
      <c r="Q6" s="8">
        <f t="shared" si="5"/>
        <v>290.32997551762497</v>
      </c>
      <c r="R6" s="8">
        <f t="shared" si="5"/>
        <v>290.32997551762497</v>
      </c>
      <c r="S6" s="8">
        <f t="shared" si="5"/>
        <v>290.32997551762497</v>
      </c>
      <c r="T6" s="8">
        <f t="shared" si="5"/>
        <v>290.32997551762497</v>
      </c>
      <c r="U6" s="8">
        <f t="shared" si="5"/>
        <v>290.32997551762497</v>
      </c>
      <c r="V6" s="8">
        <f t="shared" si="5"/>
        <v>290.32997551762497</v>
      </c>
      <c r="W6" s="8">
        <f t="shared" si="6"/>
        <v>290.32997551762497</v>
      </c>
      <c r="X6" s="8">
        <f t="shared" si="6"/>
        <v>290.32997551762497</v>
      </c>
      <c r="Y6" s="8">
        <f t="shared" si="6"/>
        <v>290.32997551762497</v>
      </c>
      <c r="Z6" s="8">
        <f t="shared" si="6"/>
        <v>290.32997551762497</v>
      </c>
      <c r="AA6" s="8">
        <f t="shared" si="6"/>
        <v>290.32997551762497</v>
      </c>
      <c r="AB6" s="8">
        <f t="shared" si="6"/>
        <v>290.32997551762497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13165.117498085294</v>
      </c>
      <c r="C7" s="8">
        <f t="shared" si="4"/>
        <v>13165.117498085294</v>
      </c>
      <c r="D7" s="8">
        <f t="shared" si="4"/>
        <v>13165.117498085294</v>
      </c>
      <c r="E7" s="8">
        <f t="shared" si="4"/>
        <v>13165.117498085294</v>
      </c>
      <c r="F7" s="8">
        <f t="shared" si="4"/>
        <v>13165.117498085294</v>
      </c>
      <c r="G7" s="8">
        <f t="shared" si="4"/>
        <v>13165.117498085294</v>
      </c>
      <c r="H7" s="8">
        <f t="shared" si="4"/>
        <v>13165.117498085294</v>
      </c>
      <c r="I7" s="8">
        <f t="shared" si="4"/>
        <v>13165.117498085294</v>
      </c>
      <c r="J7" s="8">
        <f t="shared" si="4"/>
        <v>13165.117498085294</v>
      </c>
      <c r="K7" s="8">
        <f t="shared" si="4"/>
        <v>13165.117498085294</v>
      </c>
      <c r="L7" s="8">
        <f t="shared" si="4"/>
        <v>13165.117498085294</v>
      </c>
      <c r="M7" s="8">
        <f t="shared" si="5"/>
        <v>13165.117498085294</v>
      </c>
      <c r="N7" s="8">
        <f t="shared" si="5"/>
        <v>13165.117498085294</v>
      </c>
      <c r="O7" s="8">
        <f t="shared" si="5"/>
        <v>13165.117498085294</v>
      </c>
      <c r="P7" s="8">
        <f t="shared" si="5"/>
        <v>13165.117498085294</v>
      </c>
      <c r="Q7" s="8">
        <f t="shared" si="5"/>
        <v>13165.117498085294</v>
      </c>
      <c r="R7" s="8">
        <f t="shared" si="5"/>
        <v>13165.117498085294</v>
      </c>
      <c r="S7" s="8">
        <f t="shared" si="5"/>
        <v>13165.117498085294</v>
      </c>
      <c r="T7" s="8">
        <f t="shared" si="5"/>
        <v>13165.117498085294</v>
      </c>
      <c r="U7" s="8">
        <f t="shared" si="5"/>
        <v>13165.117498085294</v>
      </c>
      <c r="V7" s="8">
        <f t="shared" si="5"/>
        <v>13165.117498085294</v>
      </c>
      <c r="W7" s="8">
        <f t="shared" si="6"/>
        <v>13165.117498085294</v>
      </c>
      <c r="X7" s="8">
        <f t="shared" si="6"/>
        <v>13165.117498085294</v>
      </c>
      <c r="Y7" s="8">
        <f t="shared" si="6"/>
        <v>13165.117498085294</v>
      </c>
      <c r="Z7" s="8">
        <f t="shared" si="6"/>
        <v>13165.117498085294</v>
      </c>
      <c r="AA7" s="8">
        <f t="shared" si="6"/>
        <v>13165.117498085294</v>
      </c>
      <c r="AB7" s="8">
        <f t="shared" si="6"/>
        <v>13165.117498085294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14661.663763640057</v>
      </c>
      <c r="C2" s="8">
        <f t="shared" ref="C2:AB2" si="0">B2</f>
        <v>14661.663763640057</v>
      </c>
      <c r="D2" s="8">
        <f t="shared" si="0"/>
        <v>14661.663763640057</v>
      </c>
      <c r="E2" s="8">
        <f t="shared" si="0"/>
        <v>14661.663763640057</v>
      </c>
      <c r="F2" s="8">
        <f t="shared" si="0"/>
        <v>14661.663763640057</v>
      </c>
      <c r="G2" s="8">
        <f t="shared" si="0"/>
        <v>14661.663763640057</v>
      </c>
      <c r="H2" s="8">
        <f t="shared" si="0"/>
        <v>14661.663763640057</v>
      </c>
      <c r="I2" s="8">
        <f t="shared" si="0"/>
        <v>14661.663763640057</v>
      </c>
      <c r="J2" s="8">
        <f t="shared" si="0"/>
        <v>14661.663763640057</v>
      </c>
      <c r="K2" s="8">
        <f t="shared" si="0"/>
        <v>14661.663763640057</v>
      </c>
      <c r="L2" s="8">
        <f t="shared" si="0"/>
        <v>14661.663763640057</v>
      </c>
      <c r="M2" s="8">
        <f t="shared" si="0"/>
        <v>14661.663763640057</v>
      </c>
      <c r="N2" s="8">
        <f t="shared" si="0"/>
        <v>14661.663763640057</v>
      </c>
      <c r="O2" s="8">
        <f t="shared" si="0"/>
        <v>14661.663763640057</v>
      </c>
      <c r="P2" s="8">
        <f t="shared" si="0"/>
        <v>14661.663763640057</v>
      </c>
      <c r="Q2" s="8">
        <f t="shared" si="0"/>
        <v>14661.663763640057</v>
      </c>
      <c r="R2" s="8">
        <f t="shared" si="0"/>
        <v>14661.663763640057</v>
      </c>
      <c r="S2" s="8">
        <f t="shared" si="0"/>
        <v>14661.663763640057</v>
      </c>
      <c r="T2" s="8">
        <f t="shared" si="0"/>
        <v>14661.663763640057</v>
      </c>
      <c r="U2" s="8">
        <f t="shared" si="0"/>
        <v>14661.663763640057</v>
      </c>
      <c r="V2" s="8">
        <f t="shared" si="0"/>
        <v>14661.663763640057</v>
      </c>
      <c r="W2" s="8">
        <f t="shared" si="0"/>
        <v>14661.663763640057</v>
      </c>
      <c r="X2" s="8">
        <f t="shared" si="0"/>
        <v>14661.663763640057</v>
      </c>
      <c r="Y2" s="8">
        <f t="shared" si="0"/>
        <v>14661.663763640057</v>
      </c>
      <c r="Z2" s="8">
        <f t="shared" si="0"/>
        <v>14661.663763640057</v>
      </c>
      <c r="AA2" s="8">
        <f t="shared" si="0"/>
        <v>14661.663763640057</v>
      </c>
      <c r="AB2" s="8">
        <f t="shared" si="0"/>
        <v>14661.663763640057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75118.70461857364</v>
      </c>
      <c r="C3" s="8">
        <f t="shared" ref="C3:AB3" si="1">B3</f>
        <v>75118.70461857364</v>
      </c>
      <c r="D3" s="8">
        <f t="shared" si="1"/>
        <v>75118.70461857364</v>
      </c>
      <c r="E3" s="8">
        <f t="shared" si="1"/>
        <v>75118.70461857364</v>
      </c>
      <c r="F3" s="8">
        <f t="shared" si="1"/>
        <v>75118.70461857364</v>
      </c>
      <c r="G3" s="8">
        <f t="shared" si="1"/>
        <v>75118.70461857364</v>
      </c>
      <c r="H3" s="8">
        <f t="shared" si="1"/>
        <v>75118.70461857364</v>
      </c>
      <c r="I3" s="8">
        <f t="shared" si="1"/>
        <v>75118.70461857364</v>
      </c>
      <c r="J3" s="8">
        <f t="shared" si="1"/>
        <v>75118.70461857364</v>
      </c>
      <c r="K3" s="8">
        <f t="shared" si="1"/>
        <v>75118.70461857364</v>
      </c>
      <c r="L3" s="8">
        <f t="shared" si="1"/>
        <v>75118.70461857364</v>
      </c>
      <c r="M3" s="8">
        <f t="shared" si="1"/>
        <v>75118.70461857364</v>
      </c>
      <c r="N3" s="8">
        <f t="shared" si="1"/>
        <v>75118.70461857364</v>
      </c>
      <c r="O3" s="8">
        <f t="shared" si="1"/>
        <v>75118.70461857364</v>
      </c>
      <c r="P3" s="8">
        <f t="shared" si="1"/>
        <v>75118.70461857364</v>
      </c>
      <c r="Q3" s="8">
        <f t="shared" si="1"/>
        <v>75118.70461857364</v>
      </c>
      <c r="R3" s="8">
        <f t="shared" si="1"/>
        <v>75118.70461857364</v>
      </c>
      <c r="S3" s="8">
        <f t="shared" si="1"/>
        <v>75118.70461857364</v>
      </c>
      <c r="T3" s="8">
        <f t="shared" si="1"/>
        <v>75118.70461857364</v>
      </c>
      <c r="U3" s="8">
        <f t="shared" si="1"/>
        <v>75118.70461857364</v>
      </c>
      <c r="V3" s="8">
        <f t="shared" si="1"/>
        <v>75118.70461857364</v>
      </c>
      <c r="W3" s="8">
        <f t="shared" si="1"/>
        <v>75118.70461857364</v>
      </c>
      <c r="X3" s="8">
        <f t="shared" si="1"/>
        <v>75118.70461857364</v>
      </c>
      <c r="Y3" s="8">
        <f t="shared" si="1"/>
        <v>75118.70461857364</v>
      </c>
      <c r="Z3" s="8">
        <f t="shared" si="1"/>
        <v>75118.70461857364</v>
      </c>
      <c r="AA3" s="8">
        <f t="shared" si="1"/>
        <v>75118.70461857364</v>
      </c>
      <c r="AB3" s="8">
        <f t="shared" si="1"/>
        <v>75118.70461857364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36294.745618378882</v>
      </c>
      <c r="C5" s="8">
        <f t="shared" ref="C5:AB5" si="3">B5</f>
        <v>36294.745618378882</v>
      </c>
      <c r="D5" s="8">
        <f t="shared" si="3"/>
        <v>36294.745618378882</v>
      </c>
      <c r="E5" s="8">
        <f t="shared" si="3"/>
        <v>36294.745618378882</v>
      </c>
      <c r="F5" s="8">
        <f t="shared" si="3"/>
        <v>36294.745618378882</v>
      </c>
      <c r="G5" s="8">
        <f t="shared" si="3"/>
        <v>36294.745618378882</v>
      </c>
      <c r="H5" s="8">
        <f t="shared" si="3"/>
        <v>36294.745618378882</v>
      </c>
      <c r="I5" s="8">
        <f t="shared" si="3"/>
        <v>36294.745618378882</v>
      </c>
      <c r="J5" s="8">
        <f t="shared" si="3"/>
        <v>36294.745618378882</v>
      </c>
      <c r="K5" s="8">
        <f t="shared" si="3"/>
        <v>36294.745618378882</v>
      </c>
      <c r="L5" s="8">
        <f t="shared" si="3"/>
        <v>36294.745618378882</v>
      </c>
      <c r="M5" s="8">
        <f t="shared" si="3"/>
        <v>36294.745618378882</v>
      </c>
      <c r="N5" s="8">
        <f t="shared" si="3"/>
        <v>36294.745618378882</v>
      </c>
      <c r="O5" s="8">
        <f t="shared" si="3"/>
        <v>36294.745618378882</v>
      </c>
      <c r="P5" s="8">
        <f t="shared" si="3"/>
        <v>36294.745618378882</v>
      </c>
      <c r="Q5" s="8">
        <f t="shared" si="3"/>
        <v>36294.745618378882</v>
      </c>
      <c r="R5" s="8">
        <f t="shared" si="3"/>
        <v>36294.745618378882</v>
      </c>
      <c r="S5" s="8">
        <f t="shared" si="3"/>
        <v>36294.745618378882</v>
      </c>
      <c r="T5" s="8">
        <f t="shared" si="3"/>
        <v>36294.745618378882</v>
      </c>
      <c r="U5" s="8">
        <f t="shared" si="3"/>
        <v>36294.745618378882</v>
      </c>
      <c r="V5" s="8">
        <f t="shared" si="3"/>
        <v>36294.745618378882</v>
      </c>
      <c r="W5" s="8">
        <f t="shared" si="3"/>
        <v>36294.745618378882</v>
      </c>
      <c r="X5" s="8">
        <f t="shared" si="3"/>
        <v>36294.745618378882</v>
      </c>
      <c r="Y5" s="8">
        <f t="shared" si="3"/>
        <v>36294.745618378882</v>
      </c>
      <c r="Z5" s="8">
        <f t="shared" si="3"/>
        <v>36294.745618378882</v>
      </c>
      <c r="AA5" s="8">
        <f t="shared" si="3"/>
        <v>36294.745618378882</v>
      </c>
      <c r="AB5" s="8">
        <f t="shared" si="3"/>
        <v>36294.745618378882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2694783.8412324162</v>
      </c>
      <c r="C6" s="8">
        <f t="shared" ref="C6:AB6" si="4">B6</f>
        <v>2694783.8412324162</v>
      </c>
      <c r="D6" s="8">
        <f t="shared" si="4"/>
        <v>2694783.8412324162</v>
      </c>
      <c r="E6" s="8">
        <f t="shared" si="4"/>
        <v>2694783.8412324162</v>
      </c>
      <c r="F6" s="8">
        <f t="shared" si="4"/>
        <v>2694783.8412324162</v>
      </c>
      <c r="G6" s="8">
        <f t="shared" si="4"/>
        <v>2694783.8412324162</v>
      </c>
      <c r="H6" s="8">
        <f t="shared" si="4"/>
        <v>2694783.8412324162</v>
      </c>
      <c r="I6" s="8">
        <f t="shared" si="4"/>
        <v>2694783.8412324162</v>
      </c>
      <c r="J6" s="8">
        <f t="shared" si="4"/>
        <v>2694783.8412324162</v>
      </c>
      <c r="K6" s="8">
        <f t="shared" si="4"/>
        <v>2694783.8412324162</v>
      </c>
      <c r="L6" s="8">
        <f t="shared" si="4"/>
        <v>2694783.8412324162</v>
      </c>
      <c r="M6" s="8">
        <f t="shared" si="4"/>
        <v>2694783.8412324162</v>
      </c>
      <c r="N6" s="8">
        <f t="shared" si="4"/>
        <v>2694783.8412324162</v>
      </c>
      <c r="O6" s="8">
        <f t="shared" si="4"/>
        <v>2694783.8412324162</v>
      </c>
      <c r="P6" s="8">
        <f t="shared" si="4"/>
        <v>2694783.8412324162</v>
      </c>
      <c r="Q6" s="8">
        <f t="shared" si="4"/>
        <v>2694783.8412324162</v>
      </c>
      <c r="R6" s="8">
        <f t="shared" si="4"/>
        <v>2694783.8412324162</v>
      </c>
      <c r="S6" s="8">
        <f t="shared" si="4"/>
        <v>2694783.8412324162</v>
      </c>
      <c r="T6" s="8">
        <f t="shared" si="4"/>
        <v>2694783.8412324162</v>
      </c>
      <c r="U6" s="8">
        <f t="shared" si="4"/>
        <v>2694783.8412324162</v>
      </c>
      <c r="V6" s="8">
        <f t="shared" si="4"/>
        <v>2694783.8412324162</v>
      </c>
      <c r="W6" s="8">
        <f t="shared" si="4"/>
        <v>2694783.8412324162</v>
      </c>
      <c r="X6" s="8">
        <f t="shared" si="4"/>
        <v>2694783.8412324162</v>
      </c>
      <c r="Y6" s="8">
        <f t="shared" si="4"/>
        <v>2694783.8412324162</v>
      </c>
      <c r="Z6" s="8">
        <f t="shared" si="4"/>
        <v>2694783.8412324162</v>
      </c>
      <c r="AA6" s="8">
        <f t="shared" si="4"/>
        <v>2694783.8412324162</v>
      </c>
      <c r="AB6" s="8">
        <f t="shared" si="4"/>
        <v>2694783.8412324162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2026-08-11T22:28:32Z</dcterms:modified>
</cp:coreProperties>
</file>