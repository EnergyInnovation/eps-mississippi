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MS\trans\BCDTRtSY\"/>
    </mc:Choice>
  </mc:AlternateContent>
  <xr:revisionPtr revIDLastSave="0" documentId="8_{17D84BBC-AA62-45FA-A357-D71240EB8778}"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<sst xmlns="http://schemas.openxmlformats.org/spreadsheetml/2006/main" count="6428" uniqueCount="3038">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</sst>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2909</v>
      </c>
      <c r="C1" s="77">
        <v>46248</v>
      </c>
      <c r="H1" t="s">
        <v>2981</v>
      </c>
      <c r="I1" t="s">
        <v>2982</v>
      </c>
    </row>
    <row r="2" spans="1:9">
      <c r="B2" t="str">
        <f>VLOOKUP(B1,H2:I52,2)</f>
        <v>MS</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Mississippi</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1.0027593990451584</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1.0069231494769701</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1.0080147464227482</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1.0087017282382318</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1.0086600787131039</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1.0047822800459409</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1.0010636300357423</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0.99599577387166971</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0.99151741654178738</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0.98623880147544751</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0.9816383716980791</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0.97745398120710481</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0.97332538817062486</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0.96864011818280937</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0.96415016033219769</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0.95880346383208936</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0.95334974703365927</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0.94759682677865797</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0.94205846488861122</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0.93633129083447919</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0.93037685562216155</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0.9237418427634444</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0.91724045561215251</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0.91055794944830959</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0.90424184899052951</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1.0145286655538923</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1.023207274560521</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1.0284012509606326</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1.0323671534532808</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1.034927184837348</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1.0325132056477972</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1.0296728054769582</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1.0272852665844103</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1.024431495873817</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1.0218729159436941</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1.0185610232561952</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1.0153644507667807</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1.011693424916996</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1.0079995210470702</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1.0042543448107075</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0.99971554507304805</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0.99512784765656492</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0.99023422200359679</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0.9852316487642292</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0.98012878252646973</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0.97468637622946885</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0.96914970636767384</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0.9632889590404996</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0.95728653843780831</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0.95123523663594012</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1.027901555208715</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1.0431239671369918</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1.047578698399886</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1.0567722961742101</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1.0699841863480979</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1.0786789833422361</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1.0914659182055799</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1.1058737874056659</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1.1223134169361786</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1.1409313153546938</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1.1526974957296003</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1.1643387418803306</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1.1755531691957568</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1.1856576136248405</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1.1959990217326053</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1.204783086920884</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1.2143736630444222</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1.2249713981132964</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1.2352856428556234</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1.2455099436282717</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1.2546238076016056</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1.2618064511637392</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1.2689739044588835</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1.2750406650527948</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1.2813693210430743</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1.0601540138456371</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1.103660595996016</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1.1354873272613182</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1.1623720177777768</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1.1845459336926081</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1.198455572025388</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1.2100124769563463</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1.2222044354354498</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1.2293516747042255</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1.2363236018115131</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1.2396360932828105</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1.2436662101584615</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1.2463754496944106</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1.2464843893465209</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1.2468610352201817</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1.2456717939065336</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1.2444437327681621</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1.241746319773225</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1.2397352101237049</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1.2382558091805289</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1.2352673287498126</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1.2328747378608049</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1.2284077691731103</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1.2235553393034764</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1.2184181048861493</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0.99859354680207357</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0.99016469192315171</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0.9758928764460959</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0.96412287560991439</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0.95468192978828936</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0.94176751704668615</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0.93122990424371999</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0.9219279333278867</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0.91388161534549917</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0.90712156519478426</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0.8975955837005446</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0.88817848707024971</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0.87868110820672041</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0.8691924560377009</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0.85986345470069458</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0.84984901833181314</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0.84029179622095218</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0.83106764072778938</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0.82190725581455437</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0.81278127504226183</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0.80330487586750488</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0.79332772174662691</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0.7833035978685664</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0.7730320301121214</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0.76307538326103752</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1.0025245501575357</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1.0072179503424881</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1.0089779041699896</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1.0105269592227706</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1.0110571404303605</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1.0083857499210394</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1.0057496661897176</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1.0016181833711775</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0.99783318710328339</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0.99318151833736601</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0.98930324607339604</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0.98585036424657313</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0.98236608515029133</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0.9782042423877324</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0.97425932297762208</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0.96971084022616705</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0.96491508910304247</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0.95990748111745061</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0.95520652758486935</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0.95038549502539837</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0.94515044240909185</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0.93926994264685015</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0.93335696842114824</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0.92732093349391953</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0.92164862132360148</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0.99275502182715869</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0.99098663417456445</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0.988866777957771</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0.98791911893349182</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0.99169322354547618</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0.99083161375677842</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0.99170025517377158</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0.99127091574245396</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0.99268219360773335</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0.99472929131640886</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0.99705050563338127</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1.0005215136013048</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1.0050957260279139</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1.0099385477417233</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1.0151837624536626</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1.0193295961296012</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1.022815660538489</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1.0238459521880794</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1.0245691632398377</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1.0264810135030804</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1.0287493377807946</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1.0315634043485666</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1.0331472765829448</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1.0353607116370072</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1.0368228079585968</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1.0073502015638602</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1.0188685842070535</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1.0294621585274031</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1.0374292698293432</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1.0476906942663642</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1.0500906050225942</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1.0533186140077668</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1.0543471516856346</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1.0565403705017995</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1.0585408872304651</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1.0597130085270947</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1.0601672067832582</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1.0596165936366131</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1.0584926713002363</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1.0575054386132972</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1.0561515612935657</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1.0542634954132752</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1.0513987758426004</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1.048798641203152</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1.0478847812260073</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1.0471152802490402</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1.0462103553143021</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1.043342876812883</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1.0403788976025417</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1.0368847550728539</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1.0233661470875488</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1.0388701413722663</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1.0478792456437027</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1.0604882318470672</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1.0759588039278001</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1.0873984704887114</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1.1017017648676763</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1.1172255514745679</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1.1342440688383861</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1.1528419171676656</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1.166900056748561</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1.1809348251939147</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1.1947320195212339</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1.2078102153125898</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1.2211038703200949</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1.2333089394892818</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1.2460886716365627</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1.2595865153950947</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1.2729144886968724</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1.2862018761426346</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1.298741180512331</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1.3099498718995326</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1.3211690216381717</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1.3316376137505939</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1.3423262129669002</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0.97397400679096158</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1.0019845574510371</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0.97813695857760874</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0.96716658818790235</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0.97035929044783742</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0.9392683956992236</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0.93701366197765446</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0.93488611626183693</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0.92609545038045393</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0.922996333224812</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0.91907774655455898</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0.91646117406333927</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0.91076763369193026</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0.90655828177429032</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0.90143964654299169</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0.89456295800849561</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0.88578022974226223</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0.87763149776102378</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0.8717594723628429</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0.86537240834192519</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0.86125164612417082</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0.86037939945209763</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0.85716099646068333</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0.84881210025034803</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0.84109284931429795</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0.98879518025197877</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1.0044842414724597</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1.0220741274641578</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1.036224593677417</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1.051191163908282</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1.0611718003938333</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1.0729667738077699</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1.0848432086794497</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1.0972068198392499</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1.1103224119338957</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1.1194022670481325</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1.1251489843555957</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1.1307542795489467</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1.1351240464272023</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1.1394525400325135</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1.1432039935491936</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1.1478076433373379</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1.1518911060313006</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1.1557086765948474</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1.1606151259871322</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1.1655175495983696</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1.1704450844241401</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1.1745458740426935</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1.1782390116051575</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1.1830538411100224</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1.0027593990451584</v>
      </c>
      <c r="E2">
        <f>'BCDTRtSY-state-adjusted'!E5</f>
        <v>1.0069231494769701</v>
      </c>
      <c r="F2">
        <f>'BCDTRtSY-state-adjusted'!F5</f>
        <v>1.0080147464227482</v>
      </c>
      <c r="G2">
        <f>'BCDTRtSY-state-adjusted'!G5</f>
        <v>1.0087017282382318</v>
      </c>
      <c r="H2">
        <f>'BCDTRtSY-state-adjusted'!H5</f>
        <v>1.0086600787131039</v>
      </c>
      <c r="I2">
        <f>'BCDTRtSY-state-adjusted'!I5</f>
        <v>1.0047822800459409</v>
      </c>
      <c r="J2">
        <f>'BCDTRtSY-state-adjusted'!J5</f>
        <v>1.0010636300357423</v>
      </c>
      <c r="K2">
        <f>'BCDTRtSY-state-adjusted'!K5</f>
        <v>0.99599577387166971</v>
      </c>
      <c r="L2">
        <f>'BCDTRtSY-state-adjusted'!L5</f>
        <v>0.99151741654178738</v>
      </c>
      <c r="M2">
        <f>'BCDTRtSY-state-adjusted'!M5</f>
        <v>0.98623880147544751</v>
      </c>
      <c r="N2">
        <f>'BCDTRtSY-state-adjusted'!N5</f>
        <v>0.9816383716980791</v>
      </c>
      <c r="O2">
        <f>'BCDTRtSY-state-adjusted'!O5</f>
        <v>0.97745398120710481</v>
      </c>
      <c r="P2">
        <f>'BCDTRtSY-state-adjusted'!P5</f>
        <v>0.97332538817062486</v>
      </c>
      <c r="Q2">
        <f>'BCDTRtSY-state-adjusted'!Q5</f>
        <v>0.96864011818280937</v>
      </c>
      <c r="R2">
        <f>'BCDTRtSY-state-adjusted'!R5</f>
        <v>0.96415016033219769</v>
      </c>
      <c r="S2">
        <f>'BCDTRtSY-state-adjusted'!S5</f>
        <v>0.95880346383208936</v>
      </c>
      <c r="T2">
        <f>'BCDTRtSY-state-adjusted'!T5</f>
        <v>0.95334974703365927</v>
      </c>
      <c r="U2">
        <f>'BCDTRtSY-state-adjusted'!U5</f>
        <v>0.94759682677865797</v>
      </c>
      <c r="V2">
        <f>'BCDTRtSY-state-adjusted'!V5</f>
        <v>0.94205846488861122</v>
      </c>
      <c r="W2">
        <f>'BCDTRtSY-state-adjusted'!W5</f>
        <v>0.93633129083447919</v>
      </c>
      <c r="X2">
        <f>'BCDTRtSY-state-adjusted'!X5</f>
        <v>0.93037685562216155</v>
      </c>
      <c r="Y2">
        <f>'BCDTRtSY-state-adjusted'!Y5</f>
        <v>0.9237418427634444</v>
      </c>
      <c r="Z2">
        <f>'BCDTRtSY-state-adjusted'!Z5</f>
        <v>0.91724045561215251</v>
      </c>
      <c r="AA2">
        <f>'BCDTRtSY-state-adjusted'!AA5</f>
        <v>0.91055794944830959</v>
      </c>
      <c r="AB2">
        <f>'BCDTRtSY-state-adjusted'!AB5</f>
        <v>0.90424184899052951</v>
      </c>
    </row>
    <row r="3" spans="1:28">
      <c r="A3" t="s">
        <v>118</v>
      </c>
      <c r="B3">
        <f>'BCDTRtSY-state-adjusted'!B6</f>
        <v>1</v>
      </c>
      <c r="C3">
        <f>'BCDTRtSY-state-adjusted'!C6</f>
        <v>1</v>
      </c>
      <c r="D3">
        <f>'BCDTRtSY-state-adjusted'!D6</f>
        <v>1.0145286655538923</v>
      </c>
      <c r="E3">
        <f>'BCDTRtSY-state-adjusted'!E6</f>
        <v>1.023207274560521</v>
      </c>
      <c r="F3">
        <f>'BCDTRtSY-state-adjusted'!F6</f>
        <v>1.0284012509606326</v>
      </c>
      <c r="G3">
        <f>'BCDTRtSY-state-adjusted'!G6</f>
        <v>1.0323671534532808</v>
      </c>
      <c r="H3">
        <f>'BCDTRtSY-state-adjusted'!H6</f>
        <v>1.034927184837348</v>
      </c>
      <c r="I3">
        <f>'BCDTRtSY-state-adjusted'!I6</f>
        <v>1.0325132056477972</v>
      </c>
      <c r="J3">
        <f>'BCDTRtSY-state-adjusted'!J6</f>
        <v>1.0296728054769582</v>
      </c>
      <c r="K3">
        <f>'BCDTRtSY-state-adjusted'!K6</f>
        <v>1.0272852665844103</v>
      </c>
      <c r="L3">
        <f>'BCDTRtSY-state-adjusted'!L6</f>
        <v>1.024431495873817</v>
      </c>
      <c r="M3">
        <f>'BCDTRtSY-state-adjusted'!M6</f>
        <v>1.0218729159436941</v>
      </c>
      <c r="N3">
        <f>'BCDTRtSY-state-adjusted'!N6</f>
        <v>1.0185610232561952</v>
      </c>
      <c r="O3">
        <f>'BCDTRtSY-state-adjusted'!O6</f>
        <v>1.0153644507667807</v>
      </c>
      <c r="P3">
        <f>'BCDTRtSY-state-adjusted'!P6</f>
        <v>1.011693424916996</v>
      </c>
      <c r="Q3">
        <f>'BCDTRtSY-state-adjusted'!Q6</f>
        <v>1.0079995210470702</v>
      </c>
      <c r="R3">
        <f>'BCDTRtSY-state-adjusted'!R6</f>
        <v>1.0042543448107075</v>
      </c>
      <c r="S3">
        <f>'BCDTRtSY-state-adjusted'!S6</f>
        <v>0.99971554507304805</v>
      </c>
      <c r="T3">
        <f>'BCDTRtSY-state-adjusted'!T6</f>
        <v>0.99512784765656492</v>
      </c>
      <c r="U3">
        <f>'BCDTRtSY-state-adjusted'!U6</f>
        <v>0.99023422200359679</v>
      </c>
      <c r="V3">
        <f>'BCDTRtSY-state-adjusted'!V6</f>
        <v>0.9852316487642292</v>
      </c>
      <c r="W3">
        <f>'BCDTRtSY-state-adjusted'!W6</f>
        <v>0.98012878252646973</v>
      </c>
      <c r="X3">
        <f>'BCDTRtSY-state-adjusted'!X6</f>
        <v>0.97468637622946885</v>
      </c>
      <c r="Y3">
        <f>'BCDTRtSY-state-adjusted'!Y6</f>
        <v>0.96914970636767384</v>
      </c>
      <c r="Z3">
        <f>'BCDTRtSY-state-adjusted'!Z6</f>
        <v>0.9632889590404996</v>
      </c>
      <c r="AA3">
        <f>'BCDTRtSY-state-adjusted'!AA6</f>
        <v>0.95728653843780831</v>
      </c>
      <c r="AB3">
        <f>'BCDTRtSY-state-adjusted'!AB6</f>
        <v>0.95123523663594012</v>
      </c>
    </row>
    <row r="4" spans="1:28">
      <c r="A4" t="s">
        <v>116</v>
      </c>
      <c r="B4">
        <f>'BCDTRtSY-state-adjusted'!B7</f>
        <v>1</v>
      </c>
      <c r="C4">
        <f>'BCDTRtSY-state-adjusted'!C7</f>
        <v>1</v>
      </c>
      <c r="D4">
        <f>'BCDTRtSY-state-adjusted'!D7</f>
        <v>1.027901555208715</v>
      </c>
      <c r="E4">
        <f>'BCDTRtSY-state-adjusted'!E7</f>
        <v>1.0431239671369918</v>
      </c>
      <c r="F4">
        <f>'BCDTRtSY-state-adjusted'!F7</f>
        <v>1.047578698399886</v>
      </c>
      <c r="G4">
        <f>'BCDTRtSY-state-adjusted'!G7</f>
        <v>1.0567722961742101</v>
      </c>
      <c r="H4">
        <f>'BCDTRtSY-state-adjusted'!H7</f>
        <v>1.0699841863480979</v>
      </c>
      <c r="I4">
        <f>'BCDTRtSY-state-adjusted'!I7</f>
        <v>1.0786789833422361</v>
      </c>
      <c r="J4">
        <f>'BCDTRtSY-state-adjusted'!J7</f>
        <v>1.0914659182055799</v>
      </c>
      <c r="K4">
        <f>'BCDTRtSY-state-adjusted'!K7</f>
        <v>1.1058737874056659</v>
      </c>
      <c r="L4">
        <f>'BCDTRtSY-state-adjusted'!L7</f>
        <v>1.1223134169361786</v>
      </c>
      <c r="M4">
        <f>'BCDTRtSY-state-adjusted'!M7</f>
        <v>1.1409313153546938</v>
      </c>
      <c r="N4">
        <f>'BCDTRtSY-state-adjusted'!N7</f>
        <v>1.1526974957296003</v>
      </c>
      <c r="O4">
        <f>'BCDTRtSY-state-adjusted'!O7</f>
        <v>1.1643387418803306</v>
      </c>
      <c r="P4">
        <f>'BCDTRtSY-state-adjusted'!P7</f>
        <v>1.1755531691957568</v>
      </c>
      <c r="Q4">
        <f>'BCDTRtSY-state-adjusted'!Q7</f>
        <v>1.1856576136248405</v>
      </c>
      <c r="R4">
        <f>'BCDTRtSY-state-adjusted'!R7</f>
        <v>1.1959990217326053</v>
      </c>
      <c r="S4">
        <f>'BCDTRtSY-state-adjusted'!S7</f>
        <v>1.204783086920884</v>
      </c>
      <c r="T4">
        <f>'BCDTRtSY-state-adjusted'!T7</f>
        <v>1.2143736630444222</v>
      </c>
      <c r="U4">
        <f>'BCDTRtSY-state-adjusted'!U7</f>
        <v>1.2249713981132964</v>
      </c>
      <c r="V4">
        <f>'BCDTRtSY-state-adjusted'!V7</f>
        <v>1.2352856428556234</v>
      </c>
      <c r="W4">
        <f>'BCDTRtSY-state-adjusted'!W7</f>
        <v>1.2455099436282717</v>
      </c>
      <c r="X4">
        <f>'BCDTRtSY-state-adjusted'!X7</f>
        <v>1.2546238076016056</v>
      </c>
      <c r="Y4">
        <f>'BCDTRtSY-state-adjusted'!Y7</f>
        <v>1.2618064511637392</v>
      </c>
      <c r="Z4">
        <f>'BCDTRtSY-state-adjusted'!Z7</f>
        <v>1.2689739044588835</v>
      </c>
      <c r="AA4">
        <f>'BCDTRtSY-state-adjusted'!AA7</f>
        <v>1.2750406650527948</v>
      </c>
      <c r="AB4">
        <f>'BCDTRtSY-state-adjusted'!AB7</f>
        <v>1.2813693210430743</v>
      </c>
    </row>
    <row r="5" spans="1:28">
      <c r="A5" t="s">
        <v>121</v>
      </c>
      <c r="B5">
        <f>'BCDTRtSY-state-adjusted'!B8</f>
        <v>1</v>
      </c>
      <c r="C5">
        <f>'BCDTRtSY-state-adjusted'!C8</f>
        <v>1</v>
      </c>
      <c r="D5">
        <f>'BCDTRtSY-state-adjusted'!D8</f>
        <v>1.0601540138456371</v>
      </c>
      <c r="E5">
        <f>'BCDTRtSY-state-adjusted'!E8</f>
        <v>1.103660595996016</v>
      </c>
      <c r="F5">
        <f>'BCDTRtSY-state-adjusted'!F8</f>
        <v>1.1354873272613182</v>
      </c>
      <c r="G5">
        <f>'BCDTRtSY-state-adjusted'!G8</f>
        <v>1.1623720177777768</v>
      </c>
      <c r="H5">
        <f>'BCDTRtSY-state-adjusted'!H8</f>
        <v>1.1845459336926081</v>
      </c>
      <c r="I5">
        <f>'BCDTRtSY-state-adjusted'!I8</f>
        <v>1.198455572025388</v>
      </c>
      <c r="J5">
        <f>'BCDTRtSY-state-adjusted'!J8</f>
        <v>1.2100124769563463</v>
      </c>
      <c r="K5">
        <f>'BCDTRtSY-state-adjusted'!K8</f>
        <v>1.2222044354354498</v>
      </c>
      <c r="L5">
        <f>'BCDTRtSY-state-adjusted'!L8</f>
        <v>1.2293516747042255</v>
      </c>
      <c r="M5">
        <f>'BCDTRtSY-state-adjusted'!M8</f>
        <v>1.2363236018115131</v>
      </c>
      <c r="N5">
        <f>'BCDTRtSY-state-adjusted'!N8</f>
        <v>1.2396360932828105</v>
      </c>
      <c r="O5">
        <f>'BCDTRtSY-state-adjusted'!O8</f>
        <v>1.2436662101584615</v>
      </c>
      <c r="P5">
        <f>'BCDTRtSY-state-adjusted'!P8</f>
        <v>1.2463754496944106</v>
      </c>
      <c r="Q5">
        <f>'BCDTRtSY-state-adjusted'!Q8</f>
        <v>1.2464843893465209</v>
      </c>
      <c r="R5">
        <f>'BCDTRtSY-state-adjusted'!R8</f>
        <v>1.2468610352201817</v>
      </c>
      <c r="S5">
        <f>'BCDTRtSY-state-adjusted'!S8</f>
        <v>1.2456717939065336</v>
      </c>
      <c r="T5">
        <f>'BCDTRtSY-state-adjusted'!T8</f>
        <v>1.2444437327681621</v>
      </c>
      <c r="U5">
        <f>'BCDTRtSY-state-adjusted'!U8</f>
        <v>1.241746319773225</v>
      </c>
      <c r="V5">
        <f>'BCDTRtSY-state-adjusted'!V8</f>
        <v>1.2397352101237049</v>
      </c>
      <c r="W5">
        <f>'BCDTRtSY-state-adjusted'!W8</f>
        <v>1.2382558091805289</v>
      </c>
      <c r="X5">
        <f>'BCDTRtSY-state-adjusted'!X8</f>
        <v>1.2352673287498126</v>
      </c>
      <c r="Y5">
        <f>'BCDTRtSY-state-adjusted'!Y8</f>
        <v>1.2328747378608049</v>
      </c>
      <c r="Z5">
        <f>'BCDTRtSY-state-adjusted'!Z8</f>
        <v>1.2284077691731103</v>
      </c>
      <c r="AA5">
        <f>'BCDTRtSY-state-adjusted'!AA8</f>
        <v>1.2235553393034764</v>
      </c>
      <c r="AB5">
        <f>'BCDTRtSY-state-adjusted'!AB8</f>
        <v>1.2184181048861493</v>
      </c>
    </row>
    <row r="6" spans="1:28">
      <c r="A6" t="s">
        <v>122</v>
      </c>
      <c r="B6">
        <f>'BCDTRtSY-state-adjusted'!B9</f>
        <v>1</v>
      </c>
      <c r="C6">
        <f>'BCDTRtSY-state-adjusted'!C9</f>
        <v>1</v>
      </c>
      <c r="D6">
        <f>'BCDTRtSY-state-adjusted'!D9</f>
        <v>0.99859354680207357</v>
      </c>
      <c r="E6">
        <f>'BCDTRtSY-state-adjusted'!E9</f>
        <v>0.99016469192315171</v>
      </c>
      <c r="F6">
        <f>'BCDTRtSY-state-adjusted'!F9</f>
        <v>0.9758928764460959</v>
      </c>
      <c r="G6">
        <f>'BCDTRtSY-state-adjusted'!G9</f>
        <v>0.96412287560991439</v>
      </c>
      <c r="H6">
        <f>'BCDTRtSY-state-adjusted'!H9</f>
        <v>0.95468192978828936</v>
      </c>
      <c r="I6">
        <f>'BCDTRtSY-state-adjusted'!I9</f>
        <v>0.94176751704668615</v>
      </c>
      <c r="J6">
        <f>'BCDTRtSY-state-adjusted'!J9</f>
        <v>0.93122990424371999</v>
      </c>
      <c r="K6">
        <f>'BCDTRtSY-state-adjusted'!K9</f>
        <v>0.9219279333278867</v>
      </c>
      <c r="L6">
        <f>'BCDTRtSY-state-adjusted'!L9</f>
        <v>0.91388161534549917</v>
      </c>
      <c r="M6">
        <f>'BCDTRtSY-state-adjusted'!M9</f>
        <v>0.90712156519478426</v>
      </c>
      <c r="N6">
        <f>'BCDTRtSY-state-adjusted'!N9</f>
        <v>0.8975955837005446</v>
      </c>
      <c r="O6">
        <f>'BCDTRtSY-state-adjusted'!O9</f>
        <v>0.88817848707024971</v>
      </c>
      <c r="P6">
        <f>'BCDTRtSY-state-adjusted'!P9</f>
        <v>0.87868110820672041</v>
      </c>
      <c r="Q6">
        <f>'BCDTRtSY-state-adjusted'!Q9</f>
        <v>0.8691924560377009</v>
      </c>
      <c r="R6">
        <f>'BCDTRtSY-state-adjusted'!R9</f>
        <v>0.85986345470069458</v>
      </c>
      <c r="S6">
        <f>'BCDTRtSY-state-adjusted'!S9</f>
        <v>0.84984901833181314</v>
      </c>
      <c r="T6">
        <f>'BCDTRtSY-state-adjusted'!T9</f>
        <v>0.84029179622095218</v>
      </c>
      <c r="U6">
        <f>'BCDTRtSY-state-adjusted'!U9</f>
        <v>0.83106764072778938</v>
      </c>
      <c r="V6">
        <f>'BCDTRtSY-state-adjusted'!V9</f>
        <v>0.82190725581455437</v>
      </c>
      <c r="W6">
        <f>'BCDTRtSY-state-adjusted'!W9</f>
        <v>0.81278127504226183</v>
      </c>
      <c r="X6">
        <f>'BCDTRtSY-state-adjusted'!X9</f>
        <v>0.80330487586750488</v>
      </c>
      <c r="Y6">
        <f>'BCDTRtSY-state-adjusted'!Y9</f>
        <v>0.79332772174662691</v>
      </c>
      <c r="Z6">
        <f>'BCDTRtSY-state-adjusted'!Z9</f>
        <v>0.7833035978685664</v>
      </c>
      <c r="AA6">
        <f>'BCDTRtSY-state-adjusted'!AA9</f>
        <v>0.7730320301121214</v>
      </c>
      <c r="AB6">
        <f>'BCDTRtSY-state-adjusted'!AB9</f>
        <v>0.76307538326103752</v>
      </c>
    </row>
    <row r="7" spans="1:28">
      <c r="A7" t="s">
        <v>123</v>
      </c>
      <c r="B7">
        <f>'BCDTRtSY-state-adjusted'!B10</f>
        <v>1</v>
      </c>
      <c r="C7">
        <f>'BCDTRtSY-state-adjusted'!C10</f>
        <v>1</v>
      </c>
      <c r="D7">
        <f>'BCDTRtSY-state-adjusted'!D10</f>
        <v>1.0025245501575357</v>
      </c>
      <c r="E7">
        <f>'BCDTRtSY-state-adjusted'!E10</f>
        <v>1.0072179503424881</v>
      </c>
      <c r="F7">
        <f>'BCDTRtSY-state-adjusted'!F10</f>
        <v>1.0089779041699896</v>
      </c>
      <c r="G7">
        <f>'BCDTRtSY-state-adjusted'!G10</f>
        <v>1.0105269592227706</v>
      </c>
      <c r="H7">
        <f>'BCDTRtSY-state-adjusted'!H10</f>
        <v>1.0110571404303605</v>
      </c>
      <c r="I7">
        <f>'BCDTRtSY-state-adjusted'!I10</f>
        <v>1.0083857499210394</v>
      </c>
      <c r="J7">
        <f>'BCDTRtSY-state-adjusted'!J10</f>
        <v>1.0057496661897176</v>
      </c>
      <c r="K7">
        <f>'BCDTRtSY-state-adjusted'!K10</f>
        <v>1.0016181833711775</v>
      </c>
      <c r="L7">
        <f>'BCDTRtSY-state-adjusted'!L10</f>
        <v>0.99783318710328339</v>
      </c>
      <c r="M7">
        <f>'BCDTRtSY-state-adjusted'!M10</f>
        <v>0.99318151833736601</v>
      </c>
      <c r="N7">
        <f>'BCDTRtSY-state-adjusted'!N10</f>
        <v>0.98930324607339604</v>
      </c>
      <c r="O7">
        <f>'BCDTRtSY-state-adjusted'!O10</f>
        <v>0.98585036424657313</v>
      </c>
      <c r="P7">
        <f>'BCDTRtSY-state-adjusted'!P10</f>
        <v>0.98236608515029133</v>
      </c>
      <c r="Q7">
        <f>'BCDTRtSY-state-adjusted'!Q10</f>
        <v>0.9782042423877324</v>
      </c>
      <c r="R7">
        <f>'BCDTRtSY-state-adjusted'!R10</f>
        <v>0.97425932297762208</v>
      </c>
      <c r="S7">
        <f>'BCDTRtSY-state-adjusted'!S10</f>
        <v>0.96971084022616705</v>
      </c>
      <c r="T7">
        <f>'BCDTRtSY-state-adjusted'!T10</f>
        <v>0.96491508910304247</v>
      </c>
      <c r="U7">
        <f>'BCDTRtSY-state-adjusted'!U10</f>
        <v>0.95990748111745061</v>
      </c>
      <c r="V7">
        <f>'BCDTRtSY-state-adjusted'!V10</f>
        <v>0.95520652758486935</v>
      </c>
      <c r="W7">
        <f>'BCDTRtSY-state-adjusted'!W10</f>
        <v>0.95038549502539837</v>
      </c>
      <c r="X7">
        <f>'BCDTRtSY-state-adjusted'!X10</f>
        <v>0.94515044240909185</v>
      </c>
      <c r="Y7">
        <f>'BCDTRtSY-state-adjusted'!Y10</f>
        <v>0.93926994264685015</v>
      </c>
      <c r="Z7">
        <f>'BCDTRtSY-state-adjusted'!Z10</f>
        <v>0.93335696842114824</v>
      </c>
      <c r="AA7">
        <f>'BCDTRtSY-state-adjusted'!AA10</f>
        <v>0.92732093349391953</v>
      </c>
      <c r="AB7">
        <f>'BCDTRtSY-state-adjusted'!AB10</f>
        <v>0.92164862132360148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0.99275502182715869</v>
      </c>
      <c r="E2">
        <f>'BCDTRtSY-state-adjusted'!E13</f>
        <v>0.99098663417456445</v>
      </c>
      <c r="F2">
        <f>'BCDTRtSY-state-adjusted'!F13</f>
        <v>0.988866777957771</v>
      </c>
      <c r="G2">
        <f>'BCDTRtSY-state-adjusted'!G13</f>
        <v>0.98791911893349182</v>
      </c>
      <c r="H2">
        <f>'BCDTRtSY-state-adjusted'!H13</f>
        <v>0.99169322354547618</v>
      </c>
      <c r="I2">
        <f>'BCDTRtSY-state-adjusted'!I13</f>
        <v>0.99083161375677842</v>
      </c>
      <c r="J2">
        <f>'BCDTRtSY-state-adjusted'!J13</f>
        <v>0.99170025517377158</v>
      </c>
      <c r="K2">
        <f>'BCDTRtSY-state-adjusted'!K13</f>
        <v>0.99127091574245396</v>
      </c>
      <c r="L2">
        <f>'BCDTRtSY-state-adjusted'!L13</f>
        <v>0.99268219360773335</v>
      </c>
      <c r="M2">
        <f>'BCDTRtSY-state-adjusted'!M13</f>
        <v>0.99472929131640886</v>
      </c>
      <c r="N2">
        <f>'BCDTRtSY-state-adjusted'!N13</f>
        <v>0.99705050563338127</v>
      </c>
      <c r="O2">
        <f>'BCDTRtSY-state-adjusted'!O13</f>
        <v>1.0005215136013048</v>
      </c>
      <c r="P2">
        <f>'BCDTRtSY-state-adjusted'!P13</f>
        <v>1.0050957260279139</v>
      </c>
      <c r="Q2">
        <f>'BCDTRtSY-state-adjusted'!Q13</f>
        <v>1.0099385477417233</v>
      </c>
      <c r="R2">
        <f>'BCDTRtSY-state-adjusted'!R13</f>
        <v>1.0151837624536626</v>
      </c>
      <c r="S2">
        <f>'BCDTRtSY-state-adjusted'!S13</f>
        <v>1.0193295961296012</v>
      </c>
      <c r="T2">
        <f>'BCDTRtSY-state-adjusted'!T13</f>
        <v>1.022815660538489</v>
      </c>
      <c r="U2">
        <f>'BCDTRtSY-state-adjusted'!U13</f>
        <v>1.0238459521880794</v>
      </c>
      <c r="V2">
        <f>'BCDTRtSY-state-adjusted'!V13</f>
        <v>1.0245691632398377</v>
      </c>
      <c r="W2">
        <f>'BCDTRtSY-state-adjusted'!W13</f>
        <v>1.0264810135030804</v>
      </c>
      <c r="X2">
        <f>'BCDTRtSY-state-adjusted'!X13</f>
        <v>1.0287493377807946</v>
      </c>
      <c r="Y2">
        <f>'BCDTRtSY-state-adjusted'!Y13</f>
        <v>1.0315634043485666</v>
      </c>
      <c r="Z2">
        <f>'BCDTRtSY-state-adjusted'!Z13</f>
        <v>1.0331472765829448</v>
      </c>
      <c r="AA2">
        <f>'BCDTRtSY-state-adjusted'!AA13</f>
        <v>1.0353607116370072</v>
      </c>
      <c r="AB2">
        <f>'BCDTRtSY-state-adjusted'!AB13</f>
        <v>1.0368228079585968</v>
      </c>
    </row>
    <row r="3" spans="1:28">
      <c r="A3" t="s">
        <v>118</v>
      </c>
      <c r="B3">
        <f>'BCDTRtSY-state-adjusted'!B14</f>
        <v>1</v>
      </c>
      <c r="C3">
        <f>'BCDTRtSY-state-adjusted'!C14</f>
        <v>1</v>
      </c>
      <c r="D3">
        <f>'BCDTRtSY-state-adjusted'!D14</f>
        <v>1.0073502015638602</v>
      </c>
      <c r="E3">
        <f>'BCDTRtSY-state-adjusted'!E14</f>
        <v>1.0188685842070535</v>
      </c>
      <c r="F3">
        <f>'BCDTRtSY-state-adjusted'!F14</f>
        <v>1.0294621585274031</v>
      </c>
      <c r="G3">
        <f>'BCDTRtSY-state-adjusted'!G14</f>
        <v>1.0374292698293432</v>
      </c>
      <c r="H3">
        <f>'BCDTRtSY-state-adjusted'!H14</f>
        <v>1.0476906942663642</v>
      </c>
      <c r="I3">
        <f>'BCDTRtSY-state-adjusted'!I14</f>
        <v>1.0500906050225942</v>
      </c>
      <c r="J3">
        <f>'BCDTRtSY-state-adjusted'!J14</f>
        <v>1.0533186140077668</v>
      </c>
      <c r="K3">
        <f>'BCDTRtSY-state-adjusted'!K14</f>
        <v>1.0543471516856346</v>
      </c>
      <c r="L3">
        <f>'BCDTRtSY-state-adjusted'!L14</f>
        <v>1.0565403705017995</v>
      </c>
      <c r="M3">
        <f>'BCDTRtSY-state-adjusted'!M14</f>
        <v>1.0585408872304651</v>
      </c>
      <c r="N3">
        <f>'BCDTRtSY-state-adjusted'!N14</f>
        <v>1.0597130085270947</v>
      </c>
      <c r="O3">
        <f>'BCDTRtSY-state-adjusted'!O14</f>
        <v>1.0601672067832582</v>
      </c>
      <c r="P3">
        <f>'BCDTRtSY-state-adjusted'!P14</f>
        <v>1.0596165936366131</v>
      </c>
      <c r="Q3">
        <f>'BCDTRtSY-state-adjusted'!Q14</f>
        <v>1.0584926713002363</v>
      </c>
      <c r="R3">
        <f>'BCDTRtSY-state-adjusted'!R14</f>
        <v>1.0575054386132972</v>
      </c>
      <c r="S3">
        <f>'BCDTRtSY-state-adjusted'!S14</f>
        <v>1.0561515612935657</v>
      </c>
      <c r="T3">
        <f>'BCDTRtSY-state-adjusted'!T14</f>
        <v>1.0542634954132752</v>
      </c>
      <c r="U3">
        <f>'BCDTRtSY-state-adjusted'!U14</f>
        <v>1.0513987758426004</v>
      </c>
      <c r="V3">
        <f>'BCDTRtSY-state-adjusted'!V14</f>
        <v>1.048798641203152</v>
      </c>
      <c r="W3">
        <f>'BCDTRtSY-state-adjusted'!W14</f>
        <v>1.0478847812260073</v>
      </c>
      <c r="X3">
        <f>'BCDTRtSY-state-adjusted'!X14</f>
        <v>1.0471152802490402</v>
      </c>
      <c r="Y3">
        <f>'BCDTRtSY-state-adjusted'!Y14</f>
        <v>1.0462103553143021</v>
      </c>
      <c r="Z3">
        <f>'BCDTRtSY-state-adjusted'!Z14</f>
        <v>1.043342876812883</v>
      </c>
      <c r="AA3">
        <f>'BCDTRtSY-state-adjusted'!AA14</f>
        <v>1.0403788976025417</v>
      </c>
      <c r="AB3">
        <f>'BCDTRtSY-state-adjusted'!AB14</f>
        <v>1.0368847550728539</v>
      </c>
    </row>
    <row r="4" spans="1:28">
      <c r="A4" t="s">
        <v>116</v>
      </c>
      <c r="B4">
        <f>'BCDTRtSY-state-adjusted'!B15</f>
        <v>1</v>
      </c>
      <c r="C4">
        <f>'BCDTRtSY-state-adjusted'!C15</f>
        <v>1</v>
      </c>
      <c r="D4">
        <f>'BCDTRtSY-state-adjusted'!D15</f>
        <v>1.0233661470875488</v>
      </c>
      <c r="E4">
        <f>'BCDTRtSY-state-adjusted'!E15</f>
        <v>1.0388701413722663</v>
      </c>
      <c r="F4">
        <f>'BCDTRtSY-state-adjusted'!F15</f>
        <v>1.0478792456437027</v>
      </c>
      <c r="G4">
        <f>'BCDTRtSY-state-adjusted'!G15</f>
        <v>1.0604882318470672</v>
      </c>
      <c r="H4">
        <f>'BCDTRtSY-state-adjusted'!H15</f>
        <v>1.0759588039278001</v>
      </c>
      <c r="I4">
        <f>'BCDTRtSY-state-adjusted'!I15</f>
        <v>1.0873984704887114</v>
      </c>
      <c r="J4">
        <f>'BCDTRtSY-state-adjusted'!J15</f>
        <v>1.1017017648676763</v>
      </c>
      <c r="K4">
        <f>'BCDTRtSY-state-adjusted'!K15</f>
        <v>1.1172255514745679</v>
      </c>
      <c r="L4">
        <f>'BCDTRtSY-state-adjusted'!L15</f>
        <v>1.1342440688383861</v>
      </c>
      <c r="M4">
        <f>'BCDTRtSY-state-adjusted'!M15</f>
        <v>1.1528419171676656</v>
      </c>
      <c r="N4">
        <f>'BCDTRtSY-state-adjusted'!N15</f>
        <v>1.166900056748561</v>
      </c>
      <c r="O4">
        <f>'BCDTRtSY-state-adjusted'!O15</f>
        <v>1.1809348251939147</v>
      </c>
      <c r="P4">
        <f>'BCDTRtSY-state-adjusted'!P15</f>
        <v>1.1947320195212339</v>
      </c>
      <c r="Q4">
        <f>'BCDTRtSY-state-adjusted'!Q15</f>
        <v>1.2078102153125898</v>
      </c>
      <c r="R4">
        <f>'BCDTRtSY-state-adjusted'!R15</f>
        <v>1.2211038703200949</v>
      </c>
      <c r="S4">
        <f>'BCDTRtSY-state-adjusted'!S15</f>
        <v>1.2333089394892818</v>
      </c>
      <c r="T4">
        <f>'BCDTRtSY-state-adjusted'!T15</f>
        <v>1.2460886716365627</v>
      </c>
      <c r="U4">
        <f>'BCDTRtSY-state-adjusted'!U15</f>
        <v>1.2595865153950947</v>
      </c>
      <c r="V4">
        <f>'BCDTRtSY-state-adjusted'!V15</f>
        <v>1.2729144886968724</v>
      </c>
      <c r="W4">
        <f>'BCDTRtSY-state-adjusted'!W15</f>
        <v>1.2862018761426346</v>
      </c>
      <c r="X4">
        <f>'BCDTRtSY-state-adjusted'!X15</f>
        <v>1.298741180512331</v>
      </c>
      <c r="Y4">
        <f>'BCDTRtSY-state-adjusted'!Y15</f>
        <v>1.3099498718995326</v>
      </c>
      <c r="Z4">
        <f>'BCDTRtSY-state-adjusted'!Z15</f>
        <v>1.3211690216381717</v>
      </c>
      <c r="AA4">
        <f>'BCDTRtSY-state-adjusted'!AA15</f>
        <v>1.3316376137505939</v>
      </c>
      <c r="AB4">
        <f>'BCDTRtSY-state-adjusted'!AB15</f>
        <v>1.3423262129669002</v>
      </c>
    </row>
    <row r="5" spans="1:28">
      <c r="A5" t="s">
        <v>121</v>
      </c>
      <c r="B5">
        <f>'BCDTRtSY-state-adjusted'!B16</f>
        <v>1</v>
      </c>
      <c r="C5">
        <f>'BCDTRtSY-state-adjusted'!C16</f>
        <v>1</v>
      </c>
      <c r="D5">
        <f>'BCDTRtSY-state-adjusted'!D16</f>
        <v>0.97397400679096158</v>
      </c>
      <c r="E5">
        <f>'BCDTRtSY-state-adjusted'!E16</f>
        <v>1.0019845574510371</v>
      </c>
      <c r="F5">
        <f>'BCDTRtSY-state-adjusted'!F16</f>
        <v>0.97813695857760874</v>
      </c>
      <c r="G5">
        <f>'BCDTRtSY-state-adjusted'!G16</f>
        <v>0.96716658818790235</v>
      </c>
      <c r="H5">
        <f>'BCDTRtSY-state-adjusted'!H16</f>
        <v>0.97035929044783742</v>
      </c>
      <c r="I5">
        <f>'BCDTRtSY-state-adjusted'!I16</f>
        <v>0.9392683956992236</v>
      </c>
      <c r="J5">
        <f>'BCDTRtSY-state-adjusted'!J16</f>
        <v>0.93701366197765446</v>
      </c>
      <c r="K5">
        <f>'BCDTRtSY-state-adjusted'!K16</f>
        <v>0.93488611626183693</v>
      </c>
      <c r="L5">
        <f>'BCDTRtSY-state-adjusted'!L16</f>
        <v>0.92609545038045393</v>
      </c>
      <c r="M5">
        <f>'BCDTRtSY-state-adjusted'!M16</f>
        <v>0.922996333224812</v>
      </c>
      <c r="N5">
        <f>'BCDTRtSY-state-adjusted'!N16</f>
        <v>0.91907774655455898</v>
      </c>
      <c r="O5">
        <f>'BCDTRtSY-state-adjusted'!O16</f>
        <v>0.91646117406333927</v>
      </c>
      <c r="P5">
        <f>'BCDTRtSY-state-adjusted'!P16</f>
        <v>0.91076763369193026</v>
      </c>
      <c r="Q5">
        <f>'BCDTRtSY-state-adjusted'!Q16</f>
        <v>0.90655828177429032</v>
      </c>
      <c r="R5">
        <f>'BCDTRtSY-state-adjusted'!R16</f>
        <v>0.90143964654299169</v>
      </c>
      <c r="S5">
        <f>'BCDTRtSY-state-adjusted'!S16</f>
        <v>0.89456295800849561</v>
      </c>
      <c r="T5">
        <f>'BCDTRtSY-state-adjusted'!T16</f>
        <v>0.88578022974226223</v>
      </c>
      <c r="U5">
        <f>'BCDTRtSY-state-adjusted'!U16</f>
        <v>0.87763149776102378</v>
      </c>
      <c r="V5">
        <f>'BCDTRtSY-state-adjusted'!V16</f>
        <v>0.8717594723628429</v>
      </c>
      <c r="W5">
        <f>'BCDTRtSY-state-adjusted'!W16</f>
        <v>0.86537240834192519</v>
      </c>
      <c r="X5">
        <f>'BCDTRtSY-state-adjusted'!X16</f>
        <v>0.86125164612417082</v>
      </c>
      <c r="Y5">
        <f>'BCDTRtSY-state-adjusted'!Y16</f>
        <v>0.86037939945209763</v>
      </c>
      <c r="Z5">
        <f>'BCDTRtSY-state-adjusted'!Z16</f>
        <v>0.85716099646068333</v>
      </c>
      <c r="AA5">
        <f>'BCDTRtSY-state-adjusted'!AA16</f>
        <v>0.84881210025034803</v>
      </c>
      <c r="AB5">
        <f>'BCDTRtSY-state-adjusted'!AB16</f>
        <v>0.84109284931429795</v>
      </c>
    </row>
    <row r="6" spans="1:28">
      <c r="A6" t="s">
        <v>122</v>
      </c>
      <c r="B6">
        <f>'BCDTRtSY-state-adjusted'!B17</f>
        <v>1</v>
      </c>
      <c r="C6">
        <f>'BCDTRtSY-state-adjusted'!C17</f>
        <v>1</v>
      </c>
      <c r="D6">
        <f>'BCDTRtSY-state-adjusted'!D17</f>
        <v>0.98879518025197877</v>
      </c>
      <c r="E6">
        <f>'BCDTRtSY-state-adjusted'!E17</f>
        <v>1.0044842414724597</v>
      </c>
      <c r="F6">
        <f>'BCDTRtSY-state-adjusted'!F17</f>
        <v>1.0220741274641578</v>
      </c>
      <c r="G6">
        <f>'BCDTRtSY-state-adjusted'!G17</f>
        <v>1.036224593677417</v>
      </c>
      <c r="H6">
        <f>'BCDTRtSY-state-adjusted'!H17</f>
        <v>1.051191163908282</v>
      </c>
      <c r="I6">
        <f>'BCDTRtSY-state-adjusted'!I17</f>
        <v>1.0611718003938333</v>
      </c>
      <c r="J6">
        <f>'BCDTRtSY-state-adjusted'!J17</f>
        <v>1.0729667738077699</v>
      </c>
      <c r="K6">
        <f>'BCDTRtSY-state-adjusted'!K17</f>
        <v>1.0848432086794497</v>
      </c>
      <c r="L6">
        <f>'BCDTRtSY-state-adjusted'!L17</f>
        <v>1.0972068198392499</v>
      </c>
      <c r="M6">
        <f>'BCDTRtSY-state-adjusted'!M17</f>
        <v>1.1103224119338957</v>
      </c>
      <c r="N6">
        <f>'BCDTRtSY-state-adjusted'!N17</f>
        <v>1.1194022670481325</v>
      </c>
      <c r="O6">
        <f>'BCDTRtSY-state-adjusted'!O17</f>
        <v>1.1251489843555957</v>
      </c>
      <c r="P6">
        <f>'BCDTRtSY-state-adjusted'!P17</f>
        <v>1.1307542795489467</v>
      </c>
      <c r="Q6">
        <f>'BCDTRtSY-state-adjusted'!Q17</f>
        <v>1.1351240464272023</v>
      </c>
      <c r="R6">
        <f>'BCDTRtSY-state-adjusted'!R17</f>
        <v>1.1394525400325135</v>
      </c>
      <c r="S6">
        <f>'BCDTRtSY-state-adjusted'!S17</f>
        <v>1.1432039935491936</v>
      </c>
      <c r="T6">
        <f>'BCDTRtSY-state-adjusted'!T17</f>
        <v>1.1478076433373379</v>
      </c>
      <c r="U6">
        <f>'BCDTRtSY-state-adjusted'!U17</f>
        <v>1.1518911060313006</v>
      </c>
      <c r="V6">
        <f>'BCDTRtSY-state-adjusted'!V17</f>
        <v>1.1557086765948474</v>
      </c>
      <c r="W6">
        <f>'BCDTRtSY-state-adjusted'!W17</f>
        <v>1.1606151259871322</v>
      </c>
      <c r="X6">
        <f>'BCDTRtSY-state-adjusted'!X17</f>
        <v>1.1655175495983696</v>
      </c>
      <c r="Y6">
        <f>'BCDTRtSY-state-adjusted'!Y17</f>
        <v>1.1704450844241401</v>
      </c>
      <c r="Z6">
        <f>'BCDTRtSY-state-adjusted'!Z17</f>
        <v>1.1745458740426935</v>
      </c>
      <c r="AA6">
        <f>'BCDTRtSY-state-adjusted'!AA17</f>
        <v>1.1782390116051575</v>
      </c>
      <c r="AB6">
        <f>'BCDTRtSY-state-adjusted'!AB17</f>
        <v>1.1830538411100224</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2026-08-14T21:49:09Z</dcterms:modified>
</cp:coreProperties>
</file>