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purchases_by_BEA" sheetId="3" state="visible" r:id="rId3"/>
    <sheet name="2_HH_purchases_by_BEA" sheetId="4" state="visible" r:id="rId4"/>
    <sheet name="3_Intl_purchases_by_BEA" sheetId="5" state="visible" r:id="rId5"/>
    <sheet name="4_DomInd_purchases_by_BEA" sheetId="6" state="visible" r:id="rId6"/>
    <sheet name="5_Total_purchases_by_BEA" sheetId="7" state="visible" r:id="rId7"/>
    <sheet name="1_Entity_totals" sheetId="8" state="visible" r:id="rId8"/>
    <sheet name="2_Row_tot_by_ISIC" sheetId="9" state="visible" r:id="rId9"/>
    <sheet name="Src_Stateior_SoI_TotUse" sheetId="10" state="visible" r:id="rId10"/>
    <sheet name="Src_Disagg_EIA_coal" sheetId="11" state="visible" r:id="rId11"/>
    <sheet name="Src_Disagg_heuristics" sheetId="12" state="visible" r:id="rId12"/>
    <sheet name="Crosswalk_BEA_to_ISIC" sheetId="13" state="visible" r:id="rId13"/>
    <sheet name="State_disagg_splits" sheetId="14" state="visible" r:id="rId14"/>
    <sheet name="NAICS_to_ISIC_Key" sheetId="15" state="visible" r:id="rId15"/>
    <sheet name="6_Calc_Gov_ISIC" sheetId="16" state="visible" r:id="rId16"/>
    <sheet name="7_Calc_HH_ISIC" sheetId="17" state="visible" r:id="rId17"/>
    <sheet name="8_Calc_Intl_ISIC" sheetId="18" state="visible" r:id="rId18"/>
    <sheet name="9_Calc_Total_ISIC" sheetId="19" state="visible" r:id="rId19"/>
    <sheet name="10_Calc_Entity_fractions" sheetId="20" state="visible" r:id="rId20"/>
    <sheet name="FoGPbEaIC-entity" sheetId="21" state="visible" r:id="rId21"/>
    <sheet name="FoGPbEaIC-isic" sheetId="22" state="visible" r:id="rId22"/>
  </sheets>
  <calcPr calcId="191029" fullCalcOnLoad="1"/>
</workbook>
</file>

<file path=xl/sharedStrings.xml><?xml version="1.0" encoding="utf-8"?>
<sst xmlns="http://schemas.openxmlformats.org/spreadsheetml/2006/main" count="664" uniqueCount="664">
  <si>
    <t xml:space="preserve">FoGPbEaIC - Fraction of Goods Purchased by Entity and ISIC Code</t>
  </si>
  <si>
    <t xml:space="preserve"/>
  </si>
  <si>
    <t xml:space="preserve">State: Mississippi (MS)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</si>
  <si>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</si>
  <si>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</si>
  <si>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</si>
  <si>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Two outputs, both at 25-Industry-Category resolution (the subset of</t>
  </si>
  <si>
    <t xml:space="preserve">42 ISIC codes that represent tradeable goods + utilities + construction):</t>
  </si>
  <si>
    <t xml:space="preserve">FoGPbEaIC-entity (25 rows x 4 entity cols):</t>
  </si>
  <si>
    <t xml:space="preserve">  For each source ISIC, fraction of its output purchased by each of</t>
  </si>
  <si>
    <t xml:space="preserve">  {government, domestic industries, labor and consumers, foreign</t>
  </si>
  <si>
    <t xml:space="preserve">  entities}. Rows sum to 1.0 by construction.</t>
  </si>
  <si>
    <t xml:space="preserve">FoGPbEaIC-isic (25 rows x 42 ISIC cols):</t>
  </si>
  <si>
    <t xml:space="preserve">  For each source ISIC, fraction of its output consumed by each of</t>
  </si>
  <si>
    <t xml:space="preserve">  the 42 consumer ISIC industries.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</si>
  <si>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</si>
  <si>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</si>
  <si>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</si>
  <si>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</si>
  <si>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</si>
  <si>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</si>
  <si>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</si>
  <si>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</si>
  <si>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</si>
  <si>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</si>
  <si>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</si>
  <si>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</si>
  <si>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</si>
  <si>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</si>
  <si>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</si>
  <si>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</si>
  <si>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</si>
  <si>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</si>
  <si>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</si>
  <si>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</si>
  <si>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</si>
  <si>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</si>
  <si>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</si>
  <si>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</si>
  <si>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</si>
  <si>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</si>
  <si>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</si>
  <si>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</si>
  <si>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</si>
  <si>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</si>
  <si>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</si>
  <si>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</si>
  <si>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</si>
  <si>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</si>
  <si>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</si>
  <si>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</si>
  <si>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</si>
  <si>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</si>
  <si>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</si>
  <si>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</si>
  <si>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</si>
  <si>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</si>
  <si>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</si>
  <si>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</si>
  <si>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</si>
  <si>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</si>
  <si>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</si>
  <si>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</si>
  <si>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</si>
  <si>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</si>
  <si>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</si>
  <si>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FoGPbEaIC-entity is FORMULA-DERIVED from the per-BEA purchase-component</t>
  </si>
  <si>
    <t xml:space="preserve">tabs: each component is crosswalk-aggregated to ISIC, fractions are</t>
  </si>
  <si>
    <t xml:space="preserve">component / MAX(total, Keys floor), and 'domestic industries' is the</t>
  </si>
  <si>
    <t xml:space="preserve">clamped residual so each row sums to 1.</t>
  </si>
  <si>
    <t xml:space="preserve">Note: the component tabs (1-4) are pipeline VALUES - they row-sum the</t>
  </si>
  <si>
    <t xml:space="preserve">TWO-REGION Use table (SoI + RoUS final-demand columns), which is not</t>
  </si>
  <si>
    <t xml:space="preserve">fully embedded (Src tab holds the SoI block only; context/provenance).</t>
  </si>
  <si>
    <t xml:space="preserve">FoGPbEaIC-isic stays a pipeline value: it needs a 2-D (row AND column)</t>
  </si>
  <si>
    <t xml:space="preserve">BEA-&gt;ISIC aggregation of the Use block, out of scope for in-sheet</t>
  </si>
  <si>
    <t xml:space="preserve">formulas.</t>
  </si>
  <si>
    <t xml:space="preserve">Tabs:</t>
  </si>
  <si>
    <t xml:space="preserve">  - About / Keys</t>
  </si>
  <si>
    <t xml:space="preserve">  - 1-4_*_purchases_by_BEA - gov / household / intl / domestic-industry</t>
  </si>
  <si>
    <t xml:space="preserve">    purchases per BEA commodity (pipeline values)</t>
  </si>
  <si>
    <t xml:space="preserve">  - 5_Total_purchases_by_BEA = 1+2+3+4 (formulas)</t>
  </si>
  <si>
    <t xml:space="preserve">  - 1_Entity_totals / 2_Row_tot_by_ISIC (context)</t>
  </si>
  <si>
    <t xml:space="preserve">  - Src_Stateior_SoI_TotUse / coal / heuristics (context)</t>
  </si>
  <si>
    <t xml:space="preserve">  - Crosswalk / splits / NAICS key</t>
  </si>
  <si>
    <t xml:space="preserve">  - 6-9_Calc_*_ISIC - crosswalk-aggregate each component to ISIC</t>
  </si>
  <si>
    <t xml:space="preserve">  - 10_Calc_Entity_fractions - floor, ratio, residual clamp (25 categories)</t>
  </si>
  <si>
    <t xml:space="preserve">  - FoGPbEaIC-entity (formulas; matches FoGPbEaIC-entity.csv)</t>
  </si>
  <si>
    <t xml:space="preserve">  - FoGPbEaIC-isic (values; matches FoGPbEaIC-isic.csv)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</si>
  <si>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</si>
  <si>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</si>
  <si>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</si>
  <si>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</si>
  <si>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</si>
  <si>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</si>
  <si>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</si>
  <si>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</si>
  <si>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</si>
  <si>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</si>
  <si>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</si>
  <si>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</si>
  <si>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</si>
  <si>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</si>
  <si>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</si>
  <si>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</si>
  <si>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gov_purchases_USD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</si>
  <si>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</si>
  <si>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</si>
  <si>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</si>
  <si>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</si>
  <si>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</si>
  <si>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</si>
  <si>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</si>
  <si>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</si>
  <si>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</si>
  <si>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</si>
  <si>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</si>
  <si>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</si>
  <si>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</si>
  <si>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</si>
  <si>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</si>
  <si>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</si>
  <si>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</si>
  <si>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</si>
  <si>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</si>
  <si>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</si>
  <si>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</si>
  <si>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</si>
  <si>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</si>
  <si>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</si>
  <si>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</si>
  <si>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</si>
  <si>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</si>
  <si>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</si>
  <si>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</si>
  <si>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</si>
  <si>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</si>
  <si>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</si>
  <si>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</si>
  <si>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</si>
  <si>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</si>
  <si>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</si>
  <si>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</si>
  <si>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</si>
  <si>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</si>
  <si>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</si>
  <si>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</si>
  <si>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</si>
  <si>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</si>
  <si>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</si>
  <si>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</si>
  <si>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</si>
  <si>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</si>
  <si>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</si>
  <si>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</si>
  <si>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</si>
  <si>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</si>
  <si>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</si>
  <si>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</si>
  <si>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</si>
  <si>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</si>
  <si>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</si>
  <si>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</si>
  <si>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</si>
  <si>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</si>
  <si>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</si>
  <si>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</si>
  <si>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</si>
  <si>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</si>
  <si>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</si>
  <si>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</si>
  <si>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</si>
  <si>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</si>
  <si>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</si>
  <si>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</si>
  <si>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</si>
  <si>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</si>
  <si>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</si>
  <si>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</si>
  <si>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hh_purchases_USD</t>
  </si>
  <si>
    <t xml:space="preserve">intl_purchases_USD (F040)</t>
  </si>
  <si>
    <t xml:space="preserve">domestic_industry_purchases_USD</t>
  </si>
  <si>
    <t xml:space="preserve">total_purchases_USD (= gov+hh+intl+domInd)</t>
  </si>
  <si>
    <t xml:space="preserve">Entity</t>
  </si>
  <si>
    <t xml:space="preserve">SoI_total_USD</t>
  </si>
  <si>
    <t xml:space="preserve">Government</t>
  </si>
  <si>
    <t xml:space="preserve">Households</t>
  </si>
  <si>
    <t xml:space="preserve">Intl Exports</t>
  </si>
  <si>
    <t xml:space="preserve">Domestic Industries</t>
  </si>
  <si>
    <t xml:space="preserve">ISIC_code</t>
  </si>
  <si>
    <t xml:space="preserve">total_consumption_USD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</si>
  <si>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</si>
  <si>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</si>
  <si>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</si>
  <si>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</si>
  <si>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</si>
  <si>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</si>
  <si>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</si>
  <si>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</si>
  <si>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</si>
  <si>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</si>
  <si>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</si>
  <si>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</si>
  <si>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</si>
  <si>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</si>
  <si>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</si>
  <si>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</si>
  <si>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</si>
  <si>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</si>
  <si>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</si>
  <si>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</si>
  <si>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</si>
  <si>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</si>
  <si>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</si>
  <si>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</si>
  <si>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</si>
  <si>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</si>
  <si>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</si>
  <si>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</si>
  <si>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</si>
  <si>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</si>
  <si>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</si>
  <si>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</si>
  <si>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</si>
  <si>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</si>
  <si>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</si>
  <si>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</si>
  <si>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</si>
  <si>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</si>
  <si>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</si>
  <si>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</si>
  <si>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</si>
  <si>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</si>
  <si>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</si>
  <si>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</si>
  <si>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</si>
  <si>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</si>
  <si>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</si>
  <si>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</si>
  <si>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</si>
  <si>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</si>
  <si>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</si>
  <si>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</si>
  <si>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</si>
  <si>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</si>
  <si>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</si>
  <si>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</si>
  <si>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</si>
  <si>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</si>
  <si>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</si>
  <si>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</si>
  <si>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</si>
  <si>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</si>
  <si>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</si>
  <si>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</si>
  <si>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</si>
  <si>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</si>
  <si>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</si>
  <si>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</si>
  <si>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</si>
  <si>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</si>
  <si>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MS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</si>
  <si>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</si>
  <si>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</si>
  <si>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</si>
  <si>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</si>
  <si>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</si>
  <si>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</si>
  <si>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</si>
  <si>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</si>
  <si>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</si>
  <si>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</si>
  <si>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</si>
  <si>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</si>
  <si>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</si>
  <si>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</si>
  <si>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</si>
  <si>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</si>
  <si>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</si>
  <si>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</si>
  <si>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</si>
  <si>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</si>
  <si>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</si>
  <si>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</si>
  <si>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</si>
  <si>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</si>
  <si>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</si>
  <si>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</si>
  <si>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</si>
  <si>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</si>
  <si>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</si>
  <si>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</si>
  <si>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</si>
  <si>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</si>
  <si>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</si>
  <si>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</si>
  <si>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</si>
  <si>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</si>
  <si>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</si>
  <si>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</si>
  <si>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</si>
  <si>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</si>
  <si>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</si>
  <si>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</si>
  <si>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</si>
  <si>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</si>
  <si>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</si>
  <si>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</si>
  <si>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</si>
  <si>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</si>
  <si>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</si>
  <si>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</si>
  <si>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</si>
  <si>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</si>
  <si>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</si>
  <si>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</si>
  <si>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</si>
  <si>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</si>
  <si>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</si>
  <si>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</si>
  <si>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</si>
  <si>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</si>
  <si>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</si>
  <si>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</si>
  <si>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</si>
  <si>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</si>
  <si>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</si>
  <si>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</si>
  <si>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</si>
  <si>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</si>
  <si>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</si>
  <si>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</si>
  <si>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</si>
  <si>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</si>
  <si>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</si>
  <si>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</si>
  <si>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</si>
  <si>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</si>
  <si>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</si>
  <si>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</si>
  <si>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</si>
  <si>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</si>
  <si>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</si>
  <si>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</si>
  <si>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</si>
  <si>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</si>
  <si>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</si>
  <si>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</si>
  <si>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</si>
  <si>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</si>
  <si>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</si>
  <si>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</si>
  <si>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</si>
  <si>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</si>
  <si>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</si>
  <si>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</si>
  <si>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</si>
  <si>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</si>
  <si>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</si>
  <si>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</si>
  <si>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MS.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</si>
  <si>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</si>
  <si>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</si>
  <si>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</si>
  <si>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</si>
  <si>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</si>
  <si>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</si>
  <si>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</si>
  <si>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</si>
  <si>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</si>
  <si>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</si>
  <si>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Agriculture, forestry, fishing</t>
  </si>
  <si>
    <t xml:space="preserve">Forestry, fishing, related</t>
  </si>
  <si>
    <t xml:space="preserve">Oil and gas extraction</t>
  </si>
  <si>
    <t xml:space="preserve">Extraction of crude petroleum and natural gas</t>
  </si>
  <si>
    <t xml:space="preserve">Support activities for mining</t>
  </si>
  <si>
    <t xml:space="preserve">Mining support service activities</t>
  </si>
  <si>
    <t xml:space="preserve">Utilities</t>
  </si>
  <si>
    <t xml:space="preserve">Electricity</t>
  </si>
  <si>
    <t xml:space="preserve">BEA 2012 Detail: electric ~72% of 22 output</t>
  </si>
  <si>
    <t xml:space="preserve">Gas, steam, AC</t>
  </si>
  <si>
    <t xml:space="preserve">BEA Detail: gas distribution ~20%</t>
  </si>
  <si>
    <t xml:space="preserve">Water, sewerage, waste</t>
  </si>
  <si>
    <t xml:space="preserve">BEA Detail: water/sewage ~8%</t>
  </si>
  <si>
    <t xml:space="preserve">Construction</t>
  </si>
  <si>
    <t xml:space="preserve">Food, beverage, tobacco</t>
  </si>
  <si>
    <t xml:space="preserve">Food, beverages, tobacco</t>
  </si>
  <si>
    <t xml:space="preserve">Textile mills and textile product mills</t>
  </si>
  <si>
    <t xml:space="preserve">Textiles, apparel, leather</t>
  </si>
  <si>
    <t xml:space="preserve">Apparel and leather</t>
  </si>
  <si>
    <t xml:space="preserve">Wood products</t>
  </si>
  <si>
    <t xml:space="preserve">Wood and products of wood and cork</t>
  </si>
  <si>
    <t xml:space="preserve">Paper products</t>
  </si>
  <si>
    <t xml:space="preserve">Paper products and printing</t>
  </si>
  <si>
    <t xml:space="preserve">Printing and related</t>
  </si>
  <si>
    <t xml:space="preserve">Petroleum and coal products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</si>
  <si>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</si>
  <si>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</si>
  <si>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</si>
  <si>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</si>
  <si>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</si>
  <si>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</si>
  <si>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</si>
  <si>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Machinery</t>
  </si>
  <si>
    <t xml:space="preserve">Machinery and equipment n.e.c.</t>
  </si>
  <si>
    <t xml:space="preserve">Computer and electronic products</t>
  </si>
  <si>
    <t xml:space="preserve">Computer, electronic and optical products</t>
  </si>
  <si>
    <t xml:space="preserve">Electrical equipment, appliances</t>
  </si>
  <si>
    <t xml:space="preserve">Electrical equipment</t>
  </si>
  <si>
    <t xml:space="preserve">Motor vehicles, bodies, trailers, parts</t>
  </si>
  <si>
    <t xml:space="preserve">Motor vehicles, trailers, semi-trailers</t>
  </si>
  <si>
    <t xml:space="preserve">Other transportation equipment</t>
  </si>
  <si>
    <t xml:space="preserve">Other transport equipment</t>
  </si>
  <si>
    <t xml:space="preserve">Furniture and related products</t>
  </si>
  <si>
    <t xml:space="preserve">Furniture; other manufacturing; repair</t>
  </si>
  <si>
    <t xml:space="preserve">Miscellaneous manufacturing</t>
  </si>
  <si>
    <t xml:space="preserve">Wholesale trade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</si>
  <si>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</si>
  <si>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</si>
  <si>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</si>
  <si>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</si>
  <si>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</si>
  <si>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</si>
  <si>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</si>
  <si>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</si>
  <si>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</si>
  <si>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</si>
  <si>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</si>
  <si>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</si>
  <si>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</si>
  <si>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</si>
  <si>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</si>
  <si>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</si>
  <si>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</si>
  <si>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</si>
  <si>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</si>
  <si>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</si>
  <si>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</si>
  <si>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</si>
  <si>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</si>
  <si>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IT and other information services</t>
  </si>
  <si>
    <t xml:space="preserve">Federal Reserve banks, credit intermediation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</si>
  <si>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</si>
  <si>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</si>
  <si>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</si>
  <si>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</si>
  <si>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</si>
  <si>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Real estate activities</t>
  </si>
  <si>
    <t xml:space="preserve">Other real estate</t>
  </si>
  <si>
    <t xml:space="preserve">Rental and leasing (excl real estate)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</si>
  <si>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</si>
  <si>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</si>
  <si>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</si>
  <si>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</si>
  <si>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</si>
  <si>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</si>
  <si>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</si>
  <si>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</si>
  <si>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</si>
  <si>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</si>
  <si>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</si>
  <si>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Education</t>
  </si>
  <si>
    <t xml:space="preserve">Ambulatory health care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</si>
  <si>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</si>
  <si>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</si>
  <si>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</si>
  <si>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</si>
  <si>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</si>
  <si>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Arts, entertainment and other services</t>
  </si>
  <si>
    <t xml:space="preserve">Amusements, gambling, recreation</t>
  </si>
  <si>
    <t xml:space="preserve">Accommodation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</si>
  <si>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</si>
  <si>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</si>
  <si>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</si>
  <si>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</si>
  <si>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</si>
  <si>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</si>
  <si>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</si>
  <si>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</si>
  <si>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</si>
  <si>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</si>
  <si>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Mining of coal and lignite</t>
  </si>
  <si>
    <t xml:space="preserve">coal/(coal+nonfuel) mine-value share, 2012 USD: EIA coal 2019 $58M + USGS T3 nonfuel 2021 $180M -&gt; coal share 0.244 (applied to stateior 212 $694M)</t>
  </si>
  <si>
    <t xml:space="preserve">Other mining and quarrying</t>
  </si>
  <si>
    <t xml:space="preserve">Nonmetallic minerals</t>
  </si>
  <si>
    <t xml:space="preserve">Glass</t>
  </si>
  <si>
    <t xml:space="preserve">HEURISTIC (GHGRP Subpart H cement state list + glass industry profile; Census ASM suppressed or missing)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</si>
  <si>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</si>
  <si>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</si>
  <si>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</si>
  <si>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Aluminum, nonferrous, foundries</t>
  </si>
  <si>
    <t xml:space="preserve">Chemicals</t>
  </si>
  <si>
    <t xml:space="preserve">Chemicals and chemical products</t>
  </si>
  <si>
    <t xml:space="preserve">HEURISTIC (Census ASM suppressed or unpulled)</t>
  </si>
  <si>
    <t xml:space="preserve">Pharmaceuticals</t>
  </si>
  <si>
    <t xml:space="preserve">State-specific disaggregation ratios applied for MS.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</si>
  <si>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</si>
  <si>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</si>
  <si>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</si>
  <si>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</si>
  <si>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</si>
  <si>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</si>
  <si>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</si>
  <si>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</si>
  <si>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</si>
  <si>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</si>
  <si>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</si>
  <si>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</si>
  <si>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</si>
  <si>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</si>
  <si>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</si>
  <si>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</si>
  <si>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</si>
  <si>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</si>
  <si>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</si>
  <si>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</si>
  <si>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</si>
  <si>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</si>
  <si>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</si>
  <si>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</si>
  <si>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</si>
  <si>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</si>
  <si>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</si>
  <si>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</si>
  <si>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</si>
  <si>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</si>
  <si>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</si>
  <si>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</si>
  <si>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</si>
  <si>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</si>
  <si>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</si>
  <si>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</si>
  <si>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</si>
  <si>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</si>
  <si>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</si>
  <si>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</si>
  <si>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</si>
  <si>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</si>
  <si>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</si>
  <si>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</si>
  <si>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</si>
  <si>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</si>
  <si>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</si>
  <si>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</si>
  <si>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</si>
  <si>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</si>
  <si>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</si>
  <si>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</si>
  <si>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</si>
  <si>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</si>
  <si>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</si>
  <si>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</si>
  <si>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</si>
  <si>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</si>
  <si>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</si>
  <si>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</si>
  <si>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</si>
  <si>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</si>
  <si>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</si>
  <si>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</si>
  <si>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</si>
  <si>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</si>
  <si>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</si>
  <si>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</si>
  <si>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</si>
  <si>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</si>
  <si>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</si>
  <si>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</si>
  <si>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</si>
  <si>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</si>
  <si>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</si>
  <si>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</si>
  <si>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</si>
  <si>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</si>
  <si>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</si>
  <si>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</si>
  <si>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</si>
  <si>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</si>
  <si>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</si>
  <si>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</si>
  <si>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</si>
  <si>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</si>
  <si>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</si>
  <si>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Entity fractions per Industry Category: component / MAX(total, Keys fogp floor); domestic industries = MAX(0, 1 - gov - hh - intl) so rows sum to 1</t>
  </si>
  <si>
    <t xml:space="preserve">gov_ISIC</t>
  </si>
  <si>
    <t xml:space="preserve">hh_ISIC</t>
  </si>
  <si>
    <t xml:space="preserve">intl_ISIC</t>
  </si>
  <si>
    <t xml:space="preserve">total_ISIC</t>
  </si>
  <si>
    <t xml:space="preserve">denom (floored)</t>
  </si>
  <si>
    <t xml:space="preserve">gov_frac</t>
  </si>
  <si>
    <t xml:space="preserve">hh_frac (labor and consumers)</t>
  </si>
  <si>
    <t xml:space="preserve">intl_frac (foreign entities)</t>
  </si>
  <si>
    <t xml:space="preserve">domind_frac (residual)</t>
  </si>
  <si>
    <t xml:space="preserve">label</t>
  </si>
  <si>
    <t xml:space="preserve">government</t>
  </si>
  <si>
    <t xml:space="preserve">domestic industries</t>
  </si>
  <si>
    <t xml:space="preserve">labor and consumers</t>
  </si>
  <si>
    <t xml:space="preserve">foreign entities</t>
  </si>
  <si>
    <t xml:space="preserve">agriculture and forestry 01T03</t>
  </si>
  <si>
    <t xml:space="preserve">coal mining 05</t>
  </si>
  <si>
    <t xml:space="preserve">oil and gas extraction 06</t>
  </si>
  <si>
    <t xml:space="preserve">other mining and quarrying 07T08</t>
  </si>
  <si>
    <t xml:space="preserve">food beverage and tobacco 10T12</t>
  </si>
  <si>
    <t xml:space="preserve">textiles apparel and leather 13T15</t>
  </si>
  <si>
    <t xml:space="preserve">wood products 16</t>
  </si>
  <si>
    <t xml:space="preserve">pulp paper and printing 17T18</t>
  </si>
  <si>
    <t xml:space="preserve">refined petroleum and coke 19</t>
  </si>
  <si>
    <t xml:space="preserve">chemicals 20</t>
  </si>
  <si>
    <t xml:space="preserve">rubber and plastic products 22</t>
  </si>
  <si>
    <t xml:space="preserve">glass and glass products 231</t>
  </si>
  <si>
    <t xml:space="preserve">cement and other nonmetallic minerals 239</t>
  </si>
  <si>
    <t xml:space="preserve">iron and steel 241</t>
  </si>
  <si>
    <t xml:space="preserve">other metals 242</t>
  </si>
  <si>
    <t xml:space="preserve">metal products except machinery and vehicles 25</t>
  </si>
  <si>
    <t xml:space="preserve">computers and electronics 26</t>
  </si>
  <si>
    <t xml:space="preserve">appliances and electrical equipment 27</t>
  </si>
  <si>
    <t xml:space="preserve">other machinery 28</t>
  </si>
  <si>
    <t xml:space="preserve">road vehicles 29</t>
  </si>
  <si>
    <t xml:space="preserve">nonroad vehicles 30</t>
  </si>
  <si>
    <t xml:space="preserve">other manufacturing 31T33</t>
  </si>
  <si>
    <t xml:space="preserve">energy pipelines and gas processing 352T353</t>
  </si>
  <si>
    <t xml:space="preserve">water and waste 36T39</t>
  </si>
  <si>
    <t xml:space="preserve">construction 41T43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</si>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</sst>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</v>
      </c>
    </row>
    <row r="21">
      <c r="A21" t="s">
        <v>4</v>
      </c>
    </row>
    <row r="22">
      <c r="A22" t="s">
        <v>15</v>
      </c>
    </row>
    <row r="23">
      <c r="A23" t="s">
        <v>4</v>
      </c>
    </row>
    <row r="24">
      <c r="A24" t="s">
        <v>16</v>
      </c>
    </row>
    <row r="25">
      <c r="A25" t="s">
        <v>17</v>
      </c>
    </row>
    <row r="26">
      <c r="A26" t="s">
        <v>1</v>
      </c>
    </row>
    <row r="27">
      <c r="A27" t="s">
        <v>18</v>
      </c>
    </row>
    <row r="28">
      <c r="A28" t="s">
        <v>19</v>
      </c>
    </row>
    <row r="29">
      <c r="A29" t="s">
        <v>20</v>
      </c>
    </row>
    <row r="30">
      <c r="A30" t="s">
        <v>21</v>
      </c>
    </row>
    <row r="31">
      <c r="A31" t="s">
        <v>22</v>
      </c>
    </row>
    <row r="32">
      <c r="A32" t="s">
        <v>23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29</v>
      </c>
    </row>
    <row r="40">
      <c r="A40" t="s">
        <v>30</v>
      </c>
    </row>
    <row r="41">
      <c r="A41" t="s">
        <v>1</v>
      </c>
    </row>
    <row r="42">
      <c r="A42" t="s">
        <v>4</v>
      </c>
    </row>
    <row r="43">
      <c r="A43" t="s">
        <v>31</v>
      </c>
    </row>
    <row r="44">
      <c r="A44" t="s">
        <v>4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59</v>
      </c>
    </row>
    <row r="82">
      <c r="A82" t="s">
        <v>60</v>
      </c>
    </row>
    <row r="83">
      <c r="A83" t="s">
        <v>61</v>
      </c>
    </row>
    <row r="84">
      <c r="A84" t="s">
        <v>1</v>
      </c>
    </row>
    <row r="85">
      <c r="A85" t="s">
        <v>62</v>
      </c>
    </row>
    <row r="86">
      <c r="A86" t="s">
        <v>63</v>
      </c>
    </row>
    <row r="87">
      <c r="A87" t="s">
        <v>64</v>
      </c>
    </row>
    <row r="88">
      <c r="A88" t="s">
        <v>1</v>
      </c>
    </row>
    <row r="89">
      <c r="A89" t="s">
        <v>4</v>
      </c>
    </row>
    <row r="90">
      <c r="A90" t="s">
        <v>65</v>
      </c>
    </row>
    <row r="91">
      <c r="A91" t="s">
        <v>4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1</v>
      </c>
    </row>
    <row r="97">
      <c r="A97" t="s">
        <v>70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1</v>
      </c>
    </row>
    <row r="104">
      <c r="A104" t="s">
        <v>76</v>
      </c>
    </row>
    <row r="105">
      <c r="A105" t="s">
        <v>77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81</v>
      </c>
    </row>
    <row r="110">
      <c r="A110" t="s">
        <v>82</v>
      </c>
    </row>
    <row r="111">
      <c r="A111" t="s">
        <v>83</v>
      </c>
    </row>
    <row r="112">
      <c r="A112" t="s">
        <v>84</v>
      </c>
    </row>
    <row r="113">
      <c r="A113" t="s">
        <v>85</v>
      </c>
    </row>
    <row r="114">
      <c r="A114" t="s">
        <v>86</v>
      </c>
    </row>
    <row r="115">
      <c r="A115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88</v>
      </c>
      <c r="B1" t="s">
        <v>89</v>
      </c>
      <c r="C1" t="s">
        <v>90</v>
      </c>
      <c r="D1" t="s">
        <v>91</v>
      </c>
    </row>
    <row r="2">
      <c r="A2" t="s">
        <v>92</v>
      </c>
      <c r="B2" t="s">
        <v>93</v>
      </c>
      <c r="C2" t="n">
        <v>1.12266</v>
      </c>
      <c r="D2" t="s">
        <v>94</v>
      </c>
    </row>
    <row r="3">
      <c r="A3" t="s">
        <v>95</v>
      </c>
      <c r="B3" t="s">
        <v>96</v>
      </c>
      <c r="C3" t="n">
        <v>2019</v>
      </c>
      <c r="D3" t="s">
        <v>97</v>
      </c>
    </row>
    <row r="4">
      <c r="A4" t="s">
        <v>98</v>
      </c>
      <c r="B4" t="s">
        <v>99</v>
      </c>
      <c r="C4" t="n">
        <v>0.000000001</v>
      </c>
      <c r="D4" t="s">
        <v>100</v>
      </c>
    </row>
    <row r="5">
      <c r="A5" t="s">
        <v>98</v>
      </c>
      <c r="B5" t="s">
        <v>101</v>
      </c>
      <c r="C5" t="n">
        <v>1</v>
      </c>
      <c r="D5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104</v>
      </c>
    </row>
    <row r="2">
      <c r="A2" t="s">
        <v>105</v>
      </c>
      <c r="B2" t="n">
        <v>0</v>
      </c>
    </row>
    <row r="3">
      <c r="A3" t="s">
        <v>106</v>
      </c>
      <c r="B3" t="n">
        <v>0</v>
      </c>
    </row>
    <row r="4">
      <c r="A4" t="s">
        <v>107</v>
      </c>
      <c r="B4" t="n">
        <v>0</v>
      </c>
    </row>
    <row r="5">
      <c r="A5" t="s">
        <v>108</v>
      </c>
      <c r="B5" t="n">
        <v>0</v>
      </c>
    </row>
    <row r="6">
      <c r="A6" t="s">
        <v>109</v>
      </c>
      <c r="B6" t="n">
        <v>0</v>
      </c>
    </row>
    <row r="7">
      <c r="A7" t="s">
        <v>110</v>
      </c>
      <c r="B7" t="n">
        <v>0</v>
      </c>
    </row>
    <row r="8">
      <c r="A8" t="s">
        <v>111</v>
      </c>
      <c r="B8" t="n">
        <v>2105640771.26556</v>
      </c>
    </row>
    <row r="9">
      <c r="A9" t="s">
        <v>112</v>
      </c>
      <c r="B9" t="n">
        <v>772621.32949144</v>
      </c>
    </row>
    <row r="10">
      <c r="A10" t="s">
        <v>113</v>
      </c>
      <c r="B10" t="n">
        <v>0</v>
      </c>
    </row>
    <row r="11">
      <c r="A11" t="s">
        <v>114</v>
      </c>
      <c r="B11" t="n">
        <v>0</v>
      </c>
    </row>
    <row r="12">
      <c r="A12" t="s">
        <v>115</v>
      </c>
      <c r="B12" t="n">
        <v>7717548.87709511</v>
      </c>
    </row>
    <row r="13">
      <c r="A13" t="s">
        <v>116</v>
      </c>
      <c r="B13" t="n">
        <v>104454484.774204</v>
      </c>
    </row>
    <row r="14">
      <c r="A14" t="s">
        <v>117</v>
      </c>
      <c r="B14" t="n">
        <v>80915425.5914053</v>
      </c>
    </row>
    <row r="15">
      <c r="A15" t="s">
        <v>118</v>
      </c>
      <c r="B15" t="n">
        <v>15151955.5407658</v>
      </c>
    </row>
    <row r="16">
      <c r="A16" t="s">
        <v>119</v>
      </c>
      <c r="B16" t="n">
        <v>285808940.459667</v>
      </c>
    </row>
    <row r="17">
      <c r="A17" t="s">
        <v>120</v>
      </c>
      <c r="B17" t="n">
        <v>546234503.541648</v>
      </c>
    </row>
    <row r="18">
      <c r="A18" t="s">
        <v>121</v>
      </c>
      <c r="B18" t="n">
        <v>40462619.0565906</v>
      </c>
    </row>
    <row r="19">
      <c r="A19" t="s">
        <v>122</v>
      </c>
      <c r="B19" t="n">
        <v>3997751.62432768</v>
      </c>
    </row>
    <row r="20">
      <c r="A20" t="s">
        <v>123</v>
      </c>
      <c r="B20" t="n">
        <v>0</v>
      </c>
    </row>
    <row r="21">
      <c r="A21" t="s">
        <v>124</v>
      </c>
      <c r="B21" t="n">
        <v>357422.425589122</v>
      </c>
    </row>
    <row r="22">
      <c r="A22" t="s">
        <v>125</v>
      </c>
      <c r="B22" t="n">
        <v>0</v>
      </c>
    </row>
    <row r="23">
      <c r="A23" t="s">
        <v>126</v>
      </c>
      <c r="B23" t="n">
        <v>0</v>
      </c>
    </row>
    <row r="24">
      <c r="A24" t="s">
        <v>127</v>
      </c>
      <c r="B24" t="n">
        <v>0</v>
      </c>
    </row>
    <row r="25">
      <c r="A25" t="s">
        <v>128</v>
      </c>
      <c r="B25" t="n">
        <v>0</v>
      </c>
    </row>
    <row r="26">
      <c r="A26" t="s">
        <v>129</v>
      </c>
      <c r="B26" t="n">
        <v>0</v>
      </c>
    </row>
    <row r="27">
      <c r="A27" t="s">
        <v>130</v>
      </c>
      <c r="B27" t="n">
        <v>200100.094960767</v>
      </c>
    </row>
    <row r="28">
      <c r="A28" t="s">
        <v>131</v>
      </c>
      <c r="B28" t="n">
        <v>200221692.206513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23464.3738784315</v>
      </c>
    </row>
    <row r="34">
      <c r="A34" t="s">
        <v>137</v>
      </c>
      <c r="B34" t="n">
        <v>10163447.6360755</v>
      </c>
    </row>
    <row r="35">
      <c r="A35" t="s">
        <v>138</v>
      </c>
      <c r="B35" t="n">
        <v>70893.7379810624</v>
      </c>
    </row>
    <row r="36">
      <c r="A36" t="s">
        <v>139</v>
      </c>
      <c r="B36" t="n">
        <v>27941461.0546476</v>
      </c>
    </row>
    <row r="37">
      <c r="A37" t="s">
        <v>140</v>
      </c>
      <c r="B37" t="n">
        <v>0</v>
      </c>
    </row>
    <row r="38">
      <c r="A38" t="s">
        <v>141</v>
      </c>
      <c r="B38" t="n">
        <v>0</v>
      </c>
    </row>
    <row r="39">
      <c r="A39" t="s">
        <v>142</v>
      </c>
      <c r="B39" t="n">
        <v>0</v>
      </c>
    </row>
    <row r="40">
      <c r="A40" t="s">
        <v>143</v>
      </c>
      <c r="B40" t="n">
        <v>0</v>
      </c>
    </row>
    <row r="41">
      <c r="A41" t="s">
        <v>144</v>
      </c>
      <c r="B41" t="n">
        <v>84425030.7530007</v>
      </c>
    </row>
    <row r="42">
      <c r="A42" t="s">
        <v>145</v>
      </c>
      <c r="B42" t="n">
        <v>0</v>
      </c>
    </row>
    <row r="43">
      <c r="A43" t="s">
        <v>146</v>
      </c>
      <c r="B43" t="n">
        <v>0</v>
      </c>
    </row>
    <row r="44">
      <c r="A44" t="s">
        <v>147</v>
      </c>
      <c r="B44" t="n">
        <v>6678661.99601634</v>
      </c>
    </row>
    <row r="45">
      <c r="A45" t="s">
        <v>148</v>
      </c>
      <c r="B45" t="n">
        <v>0</v>
      </c>
    </row>
    <row r="46">
      <c r="A46" t="s">
        <v>149</v>
      </c>
      <c r="B46" t="n">
        <v>0</v>
      </c>
    </row>
    <row r="47">
      <c r="A47" t="s">
        <v>150</v>
      </c>
      <c r="B47" t="n">
        <v>0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0</v>
      </c>
    </row>
    <row r="51">
      <c r="A51" t="s">
        <v>154</v>
      </c>
      <c r="B51" t="n">
        <v>0</v>
      </c>
    </row>
    <row r="52">
      <c r="A52" t="s">
        <v>155</v>
      </c>
      <c r="B52" t="n">
        <v>0</v>
      </c>
    </row>
    <row r="53">
      <c r="A53" t="s">
        <v>156</v>
      </c>
      <c r="B53" t="n">
        <v>35786654.8429769</v>
      </c>
    </row>
    <row r="54">
      <c r="A54" t="s">
        <v>157</v>
      </c>
      <c r="B54" t="n">
        <v>472008247.779137</v>
      </c>
    </row>
    <row r="55">
      <c r="A55" t="s">
        <v>158</v>
      </c>
      <c r="B55" t="n">
        <v>0</v>
      </c>
    </row>
    <row r="56">
      <c r="A56" t="s">
        <v>159</v>
      </c>
      <c r="B56" t="n">
        <v>0</v>
      </c>
    </row>
    <row r="57">
      <c r="A57" t="s">
        <v>160</v>
      </c>
      <c r="B57" t="n">
        <v>0</v>
      </c>
    </row>
    <row r="58">
      <c r="A58" t="s">
        <v>161</v>
      </c>
      <c r="B58" t="n">
        <v>0</v>
      </c>
    </row>
    <row r="59">
      <c r="A59" t="s">
        <v>162</v>
      </c>
      <c r="B59" t="n">
        <v>0</v>
      </c>
    </row>
    <row r="60">
      <c r="A60" t="s">
        <v>163</v>
      </c>
      <c r="B60" t="n">
        <v>0</v>
      </c>
    </row>
    <row r="61">
      <c r="A61" t="s">
        <v>164</v>
      </c>
      <c r="B61" t="n">
        <v>0</v>
      </c>
    </row>
    <row r="62">
      <c r="A62" t="s">
        <v>165</v>
      </c>
      <c r="B62" t="n">
        <v>0</v>
      </c>
    </row>
    <row r="63">
      <c r="A63" t="s">
        <v>166</v>
      </c>
      <c r="B63" t="n">
        <v>0</v>
      </c>
    </row>
    <row r="64">
      <c r="A64" t="s">
        <v>167</v>
      </c>
      <c r="B64" t="n">
        <v>0</v>
      </c>
    </row>
    <row r="65">
      <c r="A65" t="s">
        <v>168</v>
      </c>
      <c r="B65" t="n">
        <v>0</v>
      </c>
    </row>
    <row r="66">
      <c r="A66" t="s">
        <v>169</v>
      </c>
      <c r="B66" t="n">
        <v>0</v>
      </c>
    </row>
    <row r="67">
      <c r="A67" t="s">
        <v>170</v>
      </c>
      <c r="B67" t="n">
        <v>0</v>
      </c>
    </row>
    <row r="68">
      <c r="A68" t="s">
        <v>171</v>
      </c>
      <c r="B68" t="n">
        <v>10349059654.7752</v>
      </c>
    </row>
    <row r="69">
      <c r="A69" t="s">
        <v>172</v>
      </c>
      <c r="B69" t="n">
        <v>1918591028.14402</v>
      </c>
    </row>
    <row r="70">
      <c r="A70" t="s">
        <v>173</v>
      </c>
      <c r="B70" t="n">
        <v>0</v>
      </c>
    </row>
    <row r="71">
      <c r="A71" t="s">
        <v>174</v>
      </c>
      <c r="B71" t="n">
        <v>15606689101.6861</v>
      </c>
    </row>
    <row r="72">
      <c r="A72" t="s">
        <v>175</v>
      </c>
      <c r="B72" t="n">
        <v>0</v>
      </c>
    </row>
    <row r="73">
      <c r="A73" t="s">
        <v>176</v>
      </c>
      <c r="B73" t="n">
        <v>-85064246.9172637</v>
      </c>
    </row>
    <row r="74">
      <c r="A74" t="s">
        <v>177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178</v>
      </c>
    </row>
    <row r="2">
      <c r="A2" t="s">
        <v>105</v>
      </c>
      <c r="B2" t="n">
        <v>840791086.435735</v>
      </c>
    </row>
    <row r="3">
      <c r="A3" t="s">
        <v>106</v>
      </c>
      <c r="B3" t="n">
        <v>67595786.2625256</v>
      </c>
    </row>
    <row r="4">
      <c r="A4" t="s">
        <v>107</v>
      </c>
      <c r="B4" t="n">
        <v>0</v>
      </c>
    </row>
    <row r="5">
      <c r="A5" t="s">
        <v>108</v>
      </c>
      <c r="B5" t="n">
        <v>1315699.19816036</v>
      </c>
    </row>
    <row r="6">
      <c r="A6" t="s">
        <v>109</v>
      </c>
      <c r="B6" t="n">
        <v>0</v>
      </c>
    </row>
    <row r="7">
      <c r="A7" t="s">
        <v>110</v>
      </c>
      <c r="B7" t="n">
        <v>2548461837.12298</v>
      </c>
    </row>
    <row r="8">
      <c r="A8" t="s">
        <v>111</v>
      </c>
      <c r="B8" t="n">
        <v>0</v>
      </c>
    </row>
    <row r="9">
      <c r="A9" t="s">
        <v>112</v>
      </c>
      <c r="B9" t="n">
        <v>47241221.8459076</v>
      </c>
    </row>
    <row r="10">
      <c r="A10" t="s">
        <v>113</v>
      </c>
      <c r="B10" t="n">
        <v>78687740.5430355</v>
      </c>
    </row>
    <row r="11">
      <c r="A11" t="s">
        <v>114</v>
      </c>
      <c r="B11" t="n">
        <v>5873576.67756182</v>
      </c>
    </row>
    <row r="12">
      <c r="A12" t="s">
        <v>115</v>
      </c>
      <c r="B12" t="n">
        <v>101561897.092937</v>
      </c>
    </row>
    <row r="13">
      <c r="A13" t="s">
        <v>116</v>
      </c>
      <c r="B13" t="n">
        <v>75747461.0633643</v>
      </c>
    </row>
    <row r="14">
      <c r="A14" t="s">
        <v>117</v>
      </c>
      <c r="B14" t="n">
        <v>485890754.262152</v>
      </c>
    </row>
    <row r="15">
      <c r="A15" t="s">
        <v>118</v>
      </c>
      <c r="B15" t="n">
        <v>389710315.450177</v>
      </c>
    </row>
    <row r="16">
      <c r="A16" t="s">
        <v>119</v>
      </c>
      <c r="B16" t="n">
        <v>2218416782.12927</v>
      </c>
    </row>
    <row r="17">
      <c r="A17" t="s">
        <v>120</v>
      </c>
      <c r="B17" t="n">
        <v>277035602.737953</v>
      </c>
    </row>
    <row r="18">
      <c r="A18" t="s">
        <v>121</v>
      </c>
      <c r="B18" t="n">
        <v>861950322.667584</v>
      </c>
    </row>
    <row r="19">
      <c r="A19" t="s">
        <v>122</v>
      </c>
      <c r="B19" t="n">
        <v>532499070.283049</v>
      </c>
    </row>
    <row r="20">
      <c r="A20" t="s">
        <v>123</v>
      </c>
      <c r="B20" t="n">
        <v>4016707938.08679</v>
      </c>
    </row>
    <row r="21">
      <c r="A21" t="s">
        <v>124</v>
      </c>
      <c r="B21" t="n">
        <v>269484713.547324</v>
      </c>
    </row>
    <row r="22">
      <c r="A22" t="s">
        <v>125</v>
      </c>
      <c r="B22" t="n">
        <v>1138550148.91303</v>
      </c>
    </row>
    <row r="23">
      <c r="A23" t="s">
        <v>126</v>
      </c>
      <c r="B23" t="n">
        <v>212592385.250052</v>
      </c>
    </row>
    <row r="24">
      <c r="A24" t="s">
        <v>127</v>
      </c>
      <c r="B24" t="n">
        <v>10951842.7664972</v>
      </c>
    </row>
    <row r="25">
      <c r="A25" t="s">
        <v>128</v>
      </c>
      <c r="B25" t="n">
        <v>1910974134.65988</v>
      </c>
    </row>
    <row r="26">
      <c r="A26" t="s">
        <v>129</v>
      </c>
      <c r="B26" t="n">
        <v>1909171266.59718</v>
      </c>
    </row>
    <row r="27">
      <c r="A27" t="s">
        <v>130</v>
      </c>
      <c r="B27" t="n">
        <v>341787978.974331</v>
      </c>
    </row>
    <row r="28">
      <c r="A28" t="s">
        <v>131</v>
      </c>
      <c r="B28" t="n">
        <v>3061677578.31159</v>
      </c>
    </row>
    <row r="29">
      <c r="A29" t="s">
        <v>132</v>
      </c>
      <c r="B29" t="n">
        <v>2226857148.51947</v>
      </c>
    </row>
    <row r="30">
      <c r="A30" t="s">
        <v>133</v>
      </c>
      <c r="B30" t="n">
        <v>2048425596.23736</v>
      </c>
    </row>
    <row r="31">
      <c r="A31" t="s">
        <v>134</v>
      </c>
      <c r="B31" t="n">
        <v>3122988772.02666</v>
      </c>
    </row>
    <row r="32">
      <c r="A32" t="s">
        <v>135</v>
      </c>
      <c r="B32" t="n">
        <v>5770726105.16789</v>
      </c>
    </row>
    <row r="33">
      <c r="A33" t="s">
        <v>136</v>
      </c>
      <c r="B33" t="n">
        <v>180372330.715206</v>
      </c>
    </row>
    <row r="34">
      <c r="A34" t="s">
        <v>137</v>
      </c>
      <c r="B34" t="n">
        <v>58974553.5993251</v>
      </c>
    </row>
    <row r="35">
      <c r="A35" t="s">
        <v>138</v>
      </c>
      <c r="B35" t="n">
        <v>333105610.567348</v>
      </c>
    </row>
    <row r="36">
      <c r="A36" t="s">
        <v>139</v>
      </c>
      <c r="B36" t="n">
        <v>1028751999.97928</v>
      </c>
    </row>
    <row r="37">
      <c r="A37" t="s">
        <v>140</v>
      </c>
      <c r="B37" t="n">
        <v>266861263.696717</v>
      </c>
    </row>
    <row r="38">
      <c r="A38" t="s">
        <v>141</v>
      </c>
      <c r="B38" t="n">
        <v>15615361.9696445</v>
      </c>
    </row>
    <row r="39">
      <c r="A39" t="s">
        <v>142</v>
      </c>
      <c r="B39" t="n">
        <v>86056194.2764358</v>
      </c>
    </row>
    <row r="40">
      <c r="A40" t="s">
        <v>143</v>
      </c>
      <c r="B40" t="n">
        <v>2978649.30700854</v>
      </c>
    </row>
    <row r="41">
      <c r="A41" t="s">
        <v>144</v>
      </c>
      <c r="B41" t="n">
        <v>185278129.880046</v>
      </c>
    </row>
    <row r="42">
      <c r="A42" t="s">
        <v>145</v>
      </c>
      <c r="B42" t="n">
        <v>31078560.3305748</v>
      </c>
    </row>
    <row r="43">
      <c r="A43" t="s">
        <v>146</v>
      </c>
      <c r="B43" t="n">
        <v>1434289299.32439</v>
      </c>
    </row>
    <row r="44">
      <c r="A44" t="s">
        <v>147</v>
      </c>
      <c r="B44" t="n">
        <v>74545310.3124531</v>
      </c>
    </row>
    <row r="45">
      <c r="A45" t="s">
        <v>148</v>
      </c>
      <c r="B45" t="n">
        <v>1285504057.13524</v>
      </c>
    </row>
    <row r="46">
      <c r="A46" t="s">
        <v>149</v>
      </c>
      <c r="B46" t="n">
        <v>225496109.866175</v>
      </c>
    </row>
    <row r="47">
      <c r="A47" t="s">
        <v>150</v>
      </c>
      <c r="B47" t="n">
        <v>1625708376.31479</v>
      </c>
    </row>
    <row r="48">
      <c r="A48" t="s">
        <v>151</v>
      </c>
      <c r="B48" t="n">
        <v>983373753.371835</v>
      </c>
    </row>
    <row r="49">
      <c r="A49" t="s">
        <v>152</v>
      </c>
      <c r="B49" t="n">
        <v>14005273881.4227</v>
      </c>
    </row>
    <row r="50">
      <c r="A50" t="s">
        <v>153</v>
      </c>
      <c r="B50" t="n">
        <v>40681403.1218477</v>
      </c>
    </row>
    <row r="51">
      <c r="A51" t="s">
        <v>154</v>
      </c>
      <c r="B51" t="n">
        <v>402360631.953667</v>
      </c>
    </row>
    <row r="52">
      <c r="A52" t="s">
        <v>155</v>
      </c>
      <c r="B52" t="n">
        <v>431613768.551175</v>
      </c>
    </row>
    <row r="53">
      <c r="A53" t="s">
        <v>156</v>
      </c>
      <c r="B53" t="n">
        <v>0</v>
      </c>
    </row>
    <row r="54">
      <c r="A54" t="s">
        <v>157</v>
      </c>
      <c r="B54" t="n">
        <v>217575282.517301</v>
      </c>
    </row>
    <row r="55">
      <c r="A55" t="s">
        <v>158</v>
      </c>
      <c r="B55" t="n">
        <v>0</v>
      </c>
    </row>
    <row r="56">
      <c r="A56" t="s">
        <v>159</v>
      </c>
      <c r="B56" t="n">
        <v>384787880.377655</v>
      </c>
    </row>
    <row r="57">
      <c r="A57" t="s">
        <v>160</v>
      </c>
      <c r="B57" t="n">
        <v>170942991.398019</v>
      </c>
    </row>
    <row r="58">
      <c r="A58" t="s">
        <v>161</v>
      </c>
      <c r="B58" t="n">
        <v>1749536589.65778</v>
      </c>
    </row>
    <row r="59">
      <c r="A59" t="s">
        <v>162</v>
      </c>
      <c r="B59" t="n">
        <v>6153157061.20809</v>
      </c>
    </row>
    <row r="60">
      <c r="A60" t="s">
        <v>163</v>
      </c>
      <c r="B60" t="n">
        <v>6118760321.88998</v>
      </c>
    </row>
    <row r="61">
      <c r="A61" t="s">
        <v>164</v>
      </c>
      <c r="B61" t="n">
        <v>1379846445.1493</v>
      </c>
    </row>
    <row r="62">
      <c r="A62" t="s">
        <v>165</v>
      </c>
      <c r="B62" t="n">
        <v>1339110229.08973</v>
      </c>
    </row>
    <row r="63">
      <c r="A63" t="s">
        <v>166</v>
      </c>
      <c r="B63" t="n">
        <v>126269391.686248</v>
      </c>
    </row>
    <row r="64">
      <c r="A64" t="s">
        <v>167</v>
      </c>
      <c r="B64" t="n">
        <v>1227929809.41554</v>
      </c>
    </row>
    <row r="65">
      <c r="A65" t="s">
        <v>168</v>
      </c>
      <c r="B65" t="n">
        <v>1637584526.36644</v>
      </c>
    </row>
    <row r="66">
      <c r="A66" t="s">
        <v>169</v>
      </c>
      <c r="B66" t="n">
        <v>5293784993.5855</v>
      </c>
    </row>
    <row r="67">
      <c r="A67" t="s">
        <v>170</v>
      </c>
      <c r="B67" t="n">
        <v>3949446585.73656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47716563.1292868</v>
      </c>
    </row>
    <row r="71">
      <c r="A71" t="s">
        <v>174</v>
      </c>
      <c r="B71" t="n">
        <v>0</v>
      </c>
    </row>
    <row r="72">
      <c r="A72" t="s">
        <v>175</v>
      </c>
      <c r="B72" t="n">
        <v>335635809.508122</v>
      </c>
    </row>
    <row r="73">
      <c r="A73" t="s">
        <v>176</v>
      </c>
      <c r="B73" t="n">
        <v>629632251.567381</v>
      </c>
    </row>
    <row r="74">
      <c r="A74" t="s">
        <v>177</v>
      </c>
      <c r="B74" t="n">
        <v>-568961247.715162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179</v>
      </c>
    </row>
    <row r="2">
      <c r="A2" t="s">
        <v>105</v>
      </c>
      <c r="B2" t="n">
        <v>556520009.962579</v>
      </c>
    </row>
    <row r="3">
      <c r="A3" t="s">
        <v>106</v>
      </c>
      <c r="B3" t="n">
        <v>10319581.2663858</v>
      </c>
    </row>
    <row r="4">
      <c r="A4" t="s">
        <v>107</v>
      </c>
      <c r="B4" t="n">
        <v>170829332.363934</v>
      </c>
    </row>
    <row r="5">
      <c r="A5" t="s">
        <v>108</v>
      </c>
      <c r="B5" t="n">
        <v>24085347.736149</v>
      </c>
    </row>
    <row r="6">
      <c r="A6" t="s">
        <v>109</v>
      </c>
      <c r="B6" t="n">
        <v>525782.668985499</v>
      </c>
    </row>
    <row r="7">
      <c r="A7" t="s">
        <v>110</v>
      </c>
      <c r="B7" t="n">
        <v>39184402.3265951</v>
      </c>
    </row>
    <row r="8">
      <c r="A8" t="s">
        <v>111</v>
      </c>
      <c r="B8" t="n">
        <v>447505.751611655</v>
      </c>
    </row>
    <row r="9">
      <c r="A9" t="s">
        <v>112</v>
      </c>
      <c r="B9" t="n">
        <v>69188616.7132561</v>
      </c>
    </row>
    <row r="10">
      <c r="A10" t="s">
        <v>113</v>
      </c>
      <c r="B10" t="n">
        <v>29881505.2484304</v>
      </c>
    </row>
    <row r="11">
      <c r="A11" t="s">
        <v>114</v>
      </c>
      <c r="B11" t="n">
        <v>171786333.574195</v>
      </c>
    </row>
    <row r="12">
      <c r="A12" t="s">
        <v>115</v>
      </c>
      <c r="B12" t="n">
        <v>257145756.213627</v>
      </c>
    </row>
    <row r="13">
      <c r="A13" t="s">
        <v>116</v>
      </c>
      <c r="B13" t="n">
        <v>614444615.513594</v>
      </c>
    </row>
    <row r="14">
      <c r="A14" t="s">
        <v>117</v>
      </c>
      <c r="B14" t="n">
        <v>106011349.625759</v>
      </c>
    </row>
    <row r="15">
      <c r="A15" t="s">
        <v>118</v>
      </c>
      <c r="B15" t="n">
        <v>171983803.368968</v>
      </c>
    </row>
    <row r="16">
      <c r="A16" t="s">
        <v>119</v>
      </c>
      <c r="B16" t="n">
        <v>946376547.0445</v>
      </c>
    </row>
    <row r="17">
      <c r="A17" t="s">
        <v>120</v>
      </c>
      <c r="B17" t="n">
        <v>188200060.117453</v>
      </c>
    </row>
    <row r="18">
      <c r="A18" t="s">
        <v>121</v>
      </c>
      <c r="B18" t="n">
        <v>80510711.9304565</v>
      </c>
    </row>
    <row r="19">
      <c r="A19" t="s">
        <v>122</v>
      </c>
      <c r="B19" t="n">
        <v>96079859.7504395</v>
      </c>
    </row>
    <row r="20">
      <c r="A20" t="s">
        <v>123</v>
      </c>
      <c r="B20" t="n">
        <v>177950008.586877</v>
      </c>
    </row>
    <row r="21">
      <c r="A21" t="s">
        <v>124</v>
      </c>
      <c r="B21" t="n">
        <v>69162283.7436492</v>
      </c>
    </row>
    <row r="22">
      <c r="A22" t="s">
        <v>125</v>
      </c>
      <c r="B22" t="n">
        <v>12200815.240685</v>
      </c>
    </row>
    <row r="23">
      <c r="A23" t="s">
        <v>126</v>
      </c>
      <c r="B23" t="n">
        <v>529273630.258931</v>
      </c>
    </row>
    <row r="24">
      <c r="A24" t="s">
        <v>127</v>
      </c>
      <c r="B24" t="n">
        <v>5303835.20048959</v>
      </c>
    </row>
    <row r="25">
      <c r="A25" t="s">
        <v>128</v>
      </c>
      <c r="B25" t="n">
        <v>3304345751.17796</v>
      </c>
    </row>
    <row r="26">
      <c r="A26" t="s">
        <v>129</v>
      </c>
      <c r="B26" t="n">
        <v>764915028.128826</v>
      </c>
    </row>
    <row r="27">
      <c r="A27" t="s">
        <v>130</v>
      </c>
      <c r="B27" t="n">
        <v>65562232.7864164</v>
      </c>
    </row>
    <row r="28">
      <c r="A28" t="s">
        <v>131</v>
      </c>
      <c r="B28" t="n">
        <v>1025397446.19358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20172634.7742702</v>
      </c>
    </row>
    <row r="34">
      <c r="A34" t="s">
        <v>137</v>
      </c>
      <c r="B34" t="n">
        <v>110761049.612522</v>
      </c>
    </row>
    <row r="35">
      <c r="A35" t="s">
        <v>138</v>
      </c>
      <c r="B35" t="n">
        <v>77458301.2946692</v>
      </c>
    </row>
    <row r="36">
      <c r="A36" t="s">
        <v>139</v>
      </c>
      <c r="B36" t="n">
        <v>379533891.339301</v>
      </c>
    </row>
    <row r="37">
      <c r="A37" t="s">
        <v>140</v>
      </c>
      <c r="B37" t="n">
        <v>0</v>
      </c>
    </row>
    <row r="38">
      <c r="A38" t="s">
        <v>141</v>
      </c>
      <c r="B38" t="n">
        <v>48251912.8858628</v>
      </c>
    </row>
    <row r="39">
      <c r="A39" t="s">
        <v>142</v>
      </c>
      <c r="B39" t="n">
        <v>67583734.5978408</v>
      </c>
    </row>
    <row r="40">
      <c r="A40" t="s">
        <v>143</v>
      </c>
      <c r="B40" t="n">
        <v>1942425.49701026</v>
      </c>
    </row>
    <row r="41">
      <c r="A41" t="s">
        <v>144</v>
      </c>
      <c r="B41" t="n">
        <v>50907649.5076255</v>
      </c>
    </row>
    <row r="42">
      <c r="A42" t="s">
        <v>145</v>
      </c>
      <c r="B42" t="n">
        <v>13346981.9258086</v>
      </c>
    </row>
    <row r="43">
      <c r="A43" t="s">
        <v>146</v>
      </c>
      <c r="B43" t="n">
        <v>42595787.5845104</v>
      </c>
    </row>
    <row r="44">
      <c r="A44" t="s">
        <v>147</v>
      </c>
      <c r="B44" t="n">
        <v>6432168.55574276</v>
      </c>
    </row>
    <row r="45">
      <c r="A45" t="s">
        <v>148</v>
      </c>
      <c r="B45" t="n">
        <v>283569570.210257</v>
      </c>
    </row>
    <row r="46">
      <c r="A46" t="s">
        <v>149</v>
      </c>
      <c r="B46" t="n">
        <v>64264804.3512606</v>
      </c>
    </row>
    <row r="47">
      <c r="A47" t="s">
        <v>150</v>
      </c>
      <c r="B47" t="n">
        <v>71920125.1148161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8969005.633601</v>
      </c>
    </row>
    <row r="51">
      <c r="A51" t="s">
        <v>154</v>
      </c>
      <c r="B51" t="n">
        <v>339297946.632944</v>
      </c>
    </row>
    <row r="52">
      <c r="A52" t="s">
        <v>155</v>
      </c>
      <c r="B52" t="n">
        <v>58171825.6285984</v>
      </c>
    </row>
    <row r="53">
      <c r="A53" t="s">
        <v>156</v>
      </c>
      <c r="B53" t="n">
        <v>73614455.887345</v>
      </c>
    </row>
    <row r="54">
      <c r="A54" t="s">
        <v>157</v>
      </c>
      <c r="B54" t="n">
        <v>417399039.396261</v>
      </c>
    </row>
    <row r="55">
      <c r="A55" t="s">
        <v>158</v>
      </c>
      <c r="B55" t="n">
        <v>14789709.6024972</v>
      </c>
    </row>
    <row r="56">
      <c r="A56" t="s">
        <v>159</v>
      </c>
      <c r="B56" t="n">
        <v>14529543.1557804</v>
      </c>
    </row>
    <row r="57">
      <c r="A57" t="s">
        <v>160</v>
      </c>
      <c r="B57" t="n">
        <v>1345038.30436418</v>
      </c>
    </row>
    <row r="58">
      <c r="A58" t="s">
        <v>161</v>
      </c>
      <c r="B58" t="n">
        <v>11106682.5447602</v>
      </c>
    </row>
    <row r="59">
      <c r="A59" t="s">
        <v>162</v>
      </c>
      <c r="B59" t="n">
        <v>6682217.08328539</v>
      </c>
    </row>
    <row r="60">
      <c r="A60" t="s">
        <v>163</v>
      </c>
      <c r="B60" t="n">
        <v>23488499.5780138</v>
      </c>
    </row>
    <row r="61">
      <c r="A61" t="s">
        <v>164</v>
      </c>
      <c r="B61" t="n">
        <v>1766018.13150257</v>
      </c>
    </row>
    <row r="62">
      <c r="A62" t="s">
        <v>165</v>
      </c>
      <c r="B62" t="n">
        <v>0</v>
      </c>
    </row>
    <row r="63">
      <c r="A63" t="s">
        <v>166</v>
      </c>
      <c r="B63" t="n">
        <v>1596494.05198468</v>
      </c>
    </row>
    <row r="64">
      <c r="A64" t="s">
        <v>167</v>
      </c>
      <c r="B64" t="n">
        <v>107305.66051235</v>
      </c>
    </row>
    <row r="65">
      <c r="A65" t="s">
        <v>168</v>
      </c>
      <c r="B65" t="n">
        <v>0</v>
      </c>
    </row>
    <row r="66">
      <c r="A66" t="s">
        <v>169</v>
      </c>
      <c r="B66" t="n">
        <v>18051383.5513178</v>
      </c>
    </row>
    <row r="67">
      <c r="A67" t="s">
        <v>170</v>
      </c>
      <c r="B67" t="n">
        <v>473154.683039295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6041794.08864</v>
      </c>
    </row>
    <row r="71">
      <c r="A71" t="s">
        <v>174</v>
      </c>
      <c r="B71" t="n">
        <v>0</v>
      </c>
    </row>
    <row r="72">
      <c r="A72" t="s">
        <v>175</v>
      </c>
      <c r="B72" t="n">
        <v>0</v>
      </c>
    </row>
    <row r="73">
      <c r="A73" t="s">
        <v>176</v>
      </c>
      <c r="B73" t="n">
        <v>192998268.36526</v>
      </c>
    </row>
    <row r="74">
      <c r="A74" t="s">
        <v>177</v>
      </c>
      <c r="B74" t="n">
        <v>1610447318.1791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180</v>
      </c>
    </row>
    <row r="2">
      <c r="A2" t="s">
        <v>105</v>
      </c>
      <c r="B2" t="n">
        <v>3560897654.88672</v>
      </c>
    </row>
    <row r="3">
      <c r="A3" t="s">
        <v>106</v>
      </c>
      <c r="B3" t="n">
        <v>866865548.463031</v>
      </c>
    </row>
    <row r="4">
      <c r="A4" t="s">
        <v>107</v>
      </c>
      <c r="B4" t="n">
        <v>2605595751.3244</v>
      </c>
    </row>
    <row r="5">
      <c r="A5" t="s">
        <v>108</v>
      </c>
      <c r="B5" t="n">
        <v>501113160.082432</v>
      </c>
    </row>
    <row r="6">
      <c r="A6" t="s">
        <v>109</v>
      </c>
      <c r="B6" t="n">
        <v>112201505.732932</v>
      </c>
    </row>
    <row r="7">
      <c r="A7" t="s">
        <v>110</v>
      </c>
      <c r="B7" t="n">
        <v>3473666234.4005</v>
      </c>
    </row>
    <row r="8">
      <c r="A8" t="s">
        <v>111</v>
      </c>
      <c r="B8" t="n">
        <v>1854453376.5397</v>
      </c>
    </row>
    <row r="9">
      <c r="A9" t="s">
        <v>112</v>
      </c>
      <c r="B9" t="n">
        <v>2202865979.90227</v>
      </c>
    </row>
    <row r="10">
      <c r="A10" t="s">
        <v>113</v>
      </c>
      <c r="B10" t="n">
        <v>930963327.179267</v>
      </c>
    </row>
    <row r="11">
      <c r="A11" t="s">
        <v>114</v>
      </c>
      <c r="B11" t="n">
        <v>3108430673.67807</v>
      </c>
    </row>
    <row r="12">
      <c r="A12" t="s">
        <v>115</v>
      </c>
      <c r="B12" t="n">
        <v>1982335771.6495</v>
      </c>
    </row>
    <row r="13">
      <c r="A13" t="s">
        <v>116</v>
      </c>
      <c r="B13" t="n">
        <v>1653908053.75605</v>
      </c>
    </row>
    <row r="14">
      <c r="A14" t="s">
        <v>117</v>
      </c>
      <c r="B14" t="n">
        <v>695853475.367584</v>
      </c>
    </row>
    <row r="15">
      <c r="A15" t="s">
        <v>118</v>
      </c>
      <c r="B15" t="n">
        <v>1155511034.81443</v>
      </c>
    </row>
    <row r="16">
      <c r="A16" t="s">
        <v>119</v>
      </c>
      <c r="B16" t="n">
        <v>3708400681.10191</v>
      </c>
    </row>
    <row r="17">
      <c r="A17" t="s">
        <v>120</v>
      </c>
      <c r="B17" t="n">
        <v>1561027027.12089</v>
      </c>
    </row>
    <row r="18">
      <c r="A18" t="s">
        <v>121</v>
      </c>
      <c r="B18" t="n">
        <v>754165873.817463</v>
      </c>
    </row>
    <row r="19">
      <c r="A19" t="s">
        <v>122</v>
      </c>
      <c r="B19" t="n">
        <v>309350296.793257</v>
      </c>
    </row>
    <row r="20">
      <c r="A20" t="s">
        <v>123</v>
      </c>
      <c r="B20" t="n">
        <v>2256591026.3728</v>
      </c>
    </row>
    <row r="21">
      <c r="A21" t="s">
        <v>124</v>
      </c>
      <c r="B21" t="n">
        <v>716526130.457484</v>
      </c>
    </row>
    <row r="22">
      <c r="A22" t="s">
        <v>125</v>
      </c>
      <c r="B22" t="n">
        <v>121489516.665667</v>
      </c>
    </row>
    <row r="23">
      <c r="A23" t="s">
        <v>126</v>
      </c>
      <c r="B23" t="n">
        <v>1534366961.05676</v>
      </c>
    </row>
    <row r="24">
      <c r="A24" t="s">
        <v>127</v>
      </c>
      <c r="B24" t="n">
        <v>132632751.352247</v>
      </c>
    </row>
    <row r="25">
      <c r="A25" t="s">
        <v>128</v>
      </c>
      <c r="B25" t="n">
        <v>3367198743.35124</v>
      </c>
    </row>
    <row r="26">
      <c r="A26" t="s">
        <v>129</v>
      </c>
      <c r="B26" t="n">
        <v>3084394309.80849</v>
      </c>
    </row>
    <row r="27">
      <c r="A27" t="s">
        <v>130</v>
      </c>
      <c r="B27" t="n">
        <v>2253281681.41844</v>
      </c>
    </row>
    <row r="28">
      <c r="A28" t="s">
        <v>131</v>
      </c>
      <c r="B28" t="n">
        <v>4935215430.58244</v>
      </c>
    </row>
    <row r="29">
      <c r="A29" t="s">
        <v>132</v>
      </c>
      <c r="B29" t="n">
        <v>174315283.132779</v>
      </c>
    </row>
    <row r="30">
      <c r="A30" t="s">
        <v>133</v>
      </c>
      <c r="B30" t="n">
        <v>16283254.2308656</v>
      </c>
    </row>
    <row r="31">
      <c r="A31" t="s">
        <v>134</v>
      </c>
      <c r="B31" t="n">
        <v>74155655.9395404</v>
      </c>
    </row>
    <row r="32">
      <c r="A32" t="s">
        <v>135</v>
      </c>
      <c r="B32" t="n">
        <v>623519406.926076</v>
      </c>
    </row>
    <row r="33">
      <c r="A33" t="s">
        <v>136</v>
      </c>
      <c r="B33" t="n">
        <v>142388839.066329</v>
      </c>
    </row>
    <row r="34">
      <c r="A34" t="s">
        <v>137</v>
      </c>
      <c r="B34" t="n">
        <v>519389131.696543</v>
      </c>
    </row>
    <row r="35">
      <c r="A35" t="s">
        <v>138</v>
      </c>
      <c r="B35" t="n">
        <v>166706228.710359</v>
      </c>
    </row>
    <row r="36">
      <c r="A36" t="s">
        <v>139</v>
      </c>
      <c r="B36" t="n">
        <v>2518468946.37727</v>
      </c>
    </row>
    <row r="37">
      <c r="A37" t="s">
        <v>140</v>
      </c>
      <c r="B37" t="n">
        <v>344350818.992797</v>
      </c>
    </row>
    <row r="38">
      <c r="A38" t="s">
        <v>141</v>
      </c>
      <c r="B38" t="n">
        <v>266680526.111189</v>
      </c>
    </row>
    <row r="39">
      <c r="A39" t="s">
        <v>142</v>
      </c>
      <c r="B39" t="n">
        <v>1622941159.94622</v>
      </c>
    </row>
    <row r="40">
      <c r="A40" t="s">
        <v>143</v>
      </c>
      <c r="B40" t="n">
        <v>1600625775.3579</v>
      </c>
    </row>
    <row r="41">
      <c r="A41" t="s">
        <v>144</v>
      </c>
      <c r="B41" t="n">
        <v>102882906.187342</v>
      </c>
    </row>
    <row r="42">
      <c r="A42" t="s">
        <v>145</v>
      </c>
      <c r="B42" t="n">
        <v>87795916.4437775</v>
      </c>
    </row>
    <row r="43">
      <c r="A43" t="s">
        <v>146</v>
      </c>
      <c r="B43" t="n">
        <v>1403317440.91813</v>
      </c>
    </row>
    <row r="44">
      <c r="A44" t="s">
        <v>147</v>
      </c>
      <c r="B44" t="n">
        <v>260000466.051342</v>
      </c>
    </row>
    <row r="45">
      <c r="A45" t="s">
        <v>148</v>
      </c>
      <c r="B45" t="n">
        <v>2707479393.51236</v>
      </c>
    </row>
    <row r="46">
      <c r="A46" t="s">
        <v>149</v>
      </c>
      <c r="B46" t="n">
        <v>247318210.55663</v>
      </c>
    </row>
    <row r="47">
      <c r="A47" t="s">
        <v>150</v>
      </c>
      <c r="B47" t="n">
        <v>2741455971.21936</v>
      </c>
    </row>
    <row r="48">
      <c r="A48" t="s">
        <v>151</v>
      </c>
      <c r="B48" t="n">
        <v>81396277.3357684</v>
      </c>
    </row>
    <row r="49">
      <c r="A49" t="s">
        <v>152</v>
      </c>
      <c r="B49" t="n">
        <v>0</v>
      </c>
    </row>
    <row r="50">
      <c r="A50" t="s">
        <v>153</v>
      </c>
      <c r="B50" t="n">
        <v>6179268533.62375</v>
      </c>
    </row>
    <row r="51">
      <c r="A51" t="s">
        <v>154</v>
      </c>
      <c r="B51" t="n">
        <v>1231477209.7941</v>
      </c>
    </row>
    <row r="52">
      <c r="A52" t="s">
        <v>155</v>
      </c>
      <c r="B52" t="n">
        <v>786202326.324318</v>
      </c>
    </row>
    <row r="53">
      <c r="A53" t="s">
        <v>156</v>
      </c>
      <c r="B53" t="n">
        <v>773251132.320388</v>
      </c>
    </row>
    <row r="54">
      <c r="A54" t="s">
        <v>157</v>
      </c>
      <c r="B54" t="n">
        <v>3606414219.98679</v>
      </c>
    </row>
    <row r="55">
      <c r="A55" t="s">
        <v>158</v>
      </c>
      <c r="B55" t="n">
        <v>2026543303.20376</v>
      </c>
    </row>
    <row r="56">
      <c r="A56" t="s">
        <v>159</v>
      </c>
      <c r="B56" t="n">
        <v>4412232712.43353</v>
      </c>
    </row>
    <row r="57">
      <c r="A57" t="s">
        <v>160</v>
      </c>
      <c r="B57" t="n">
        <v>643580462.498533</v>
      </c>
    </row>
    <row r="58">
      <c r="A58" t="s">
        <v>161</v>
      </c>
      <c r="B58" t="n">
        <v>104711678.484891</v>
      </c>
    </row>
    <row r="59">
      <c r="A59" t="s">
        <v>162</v>
      </c>
      <c r="B59" t="n">
        <v>250320448.731459</v>
      </c>
    </row>
    <row r="60">
      <c r="A60" t="s">
        <v>163</v>
      </c>
      <c r="B60" t="n">
        <v>4148250.38287756</v>
      </c>
    </row>
    <row r="61">
      <c r="A61" t="s">
        <v>164</v>
      </c>
      <c r="B61" t="n">
        <v>25254717.0151388</v>
      </c>
    </row>
    <row r="62">
      <c r="A62" t="s">
        <v>165</v>
      </c>
      <c r="B62" t="n">
        <v>0</v>
      </c>
    </row>
    <row r="63">
      <c r="A63" t="s">
        <v>166</v>
      </c>
      <c r="B63" t="n">
        <v>93526306.3444802</v>
      </c>
    </row>
    <row r="64">
      <c r="A64" t="s">
        <v>167</v>
      </c>
      <c r="B64" t="n">
        <v>40116486.5104916</v>
      </c>
    </row>
    <row r="65">
      <c r="A65" t="s">
        <v>168</v>
      </c>
      <c r="B65" t="n">
        <v>617850872.701035</v>
      </c>
    </row>
    <row r="66">
      <c r="A66" t="s">
        <v>169</v>
      </c>
      <c r="B66" t="n">
        <v>1086757171.7485</v>
      </c>
    </row>
    <row r="67">
      <c r="A67" t="s">
        <v>170</v>
      </c>
      <c r="B67" t="n">
        <v>1668651669.57563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460487319.068951</v>
      </c>
    </row>
    <row r="71">
      <c r="A71" t="s">
        <v>174</v>
      </c>
      <c r="B71" t="n">
        <v>0</v>
      </c>
    </row>
    <row r="72">
      <c r="A72" t="s">
        <v>175</v>
      </c>
      <c r="B72" t="n">
        <v>231403149.280715</v>
      </c>
    </row>
    <row r="73">
      <c r="A73" t="s">
        <v>176</v>
      </c>
      <c r="B73" t="n">
        <v>555293977.558828</v>
      </c>
    </row>
    <row r="74">
      <c r="A74" t="s">
        <v>177</v>
      </c>
      <c r="B74" t="n">
        <v>605206414.931438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103</v>
      </c>
      <c r="B1" t="s">
        <v>181</v>
      </c>
    </row>
    <row r="2">
      <c r="A2" t="str">
        <f>'1_Gov_purchases_by_BEA'!A2</f>
      </c>
      <c r="B2" t="str">
        <f>'1_Gov_purchases_by_BEA'!B2+'2_HH_purchases_by_BEA'!B2+'3_Intl_purchases_by_BEA'!B2+'4_DomInd_purchases_by_BEA'!B2</f>
      </c>
    </row>
    <row r="3">
      <c r="A3" t="str">
        <f>'1_Gov_purchases_by_BEA'!A3</f>
      </c>
      <c r="B3" t="str">
        <f>'1_Gov_purchases_by_BEA'!B3+'2_HH_purchases_by_BEA'!B3+'3_Intl_purchases_by_BEA'!B3+'4_DomInd_purchases_by_BEA'!B3</f>
      </c>
    </row>
    <row r="4">
      <c r="A4" t="str">
        <f>'1_Gov_purchases_by_BEA'!A4</f>
      </c>
      <c r="B4" t="str">
        <f>'1_Gov_purchases_by_BEA'!B4+'2_HH_purchases_by_BEA'!B4+'3_Intl_purchases_by_BEA'!B4+'4_DomInd_purchases_by_BEA'!B4</f>
      </c>
    </row>
    <row r="5">
      <c r="A5" t="str">
        <f>'1_Gov_purchases_by_BEA'!A5</f>
      </c>
      <c r="B5" t="str">
        <f>'1_Gov_purchases_by_BEA'!B5+'2_HH_purchases_by_BEA'!B5+'3_Intl_purchases_by_BEA'!B5+'4_DomInd_purchases_by_BEA'!B5</f>
      </c>
    </row>
    <row r="6">
      <c r="A6" t="str">
        <f>'1_Gov_purchases_by_BEA'!A6</f>
      </c>
      <c r="B6" t="str">
        <f>'1_Gov_purchases_by_BEA'!B6+'2_HH_purchases_by_BEA'!B6+'3_Intl_purchases_by_BEA'!B6+'4_DomInd_purchases_by_BEA'!B6</f>
      </c>
    </row>
    <row r="7">
      <c r="A7" t="str">
        <f>'1_Gov_purchases_by_BEA'!A7</f>
      </c>
      <c r="B7" t="str">
        <f>'1_Gov_purchases_by_BEA'!B7+'2_HH_purchases_by_BEA'!B7+'3_Intl_purchases_by_BEA'!B7+'4_DomInd_purchases_by_BEA'!B7</f>
      </c>
    </row>
    <row r="8">
      <c r="A8" t="str">
        <f>'1_Gov_purchases_by_BEA'!A8</f>
      </c>
      <c r="B8" t="str">
        <f>'1_Gov_purchases_by_BEA'!B8+'2_HH_purchases_by_BEA'!B8+'3_Intl_purchases_by_BEA'!B8+'4_DomInd_purchases_by_BEA'!B8</f>
      </c>
    </row>
    <row r="9">
      <c r="A9" t="str">
        <f>'1_Gov_purchases_by_BEA'!A9</f>
      </c>
      <c r="B9" t="str">
        <f>'1_Gov_purchases_by_BEA'!B9+'2_HH_purchases_by_BEA'!B9+'3_Intl_purchases_by_BEA'!B9+'4_DomInd_purchases_by_BEA'!B9</f>
      </c>
    </row>
    <row r="10">
      <c r="A10" t="str">
        <f>'1_Gov_purchases_by_BEA'!A10</f>
      </c>
      <c r="B10" t="str">
        <f>'1_Gov_purchases_by_BEA'!B10+'2_HH_purchases_by_BEA'!B10+'3_Intl_purchases_by_BEA'!B10+'4_DomInd_purchases_by_BEA'!B10</f>
      </c>
    </row>
    <row r="11">
      <c r="A11" t="str">
        <f>'1_Gov_purchases_by_BEA'!A11</f>
      </c>
      <c r="B11" t="str">
        <f>'1_Gov_purchases_by_BEA'!B11+'2_HH_purchases_by_BEA'!B11+'3_Intl_purchases_by_BEA'!B11+'4_DomInd_purchases_by_BEA'!B11</f>
      </c>
    </row>
    <row r="12">
      <c r="A12" t="str">
        <f>'1_Gov_purchases_by_BEA'!A12</f>
      </c>
      <c r="B12" t="str">
        <f>'1_Gov_purchases_by_BEA'!B12+'2_HH_purchases_by_BEA'!B12+'3_Intl_purchases_by_BEA'!B12+'4_DomInd_purchases_by_BEA'!B12</f>
      </c>
    </row>
    <row r="13">
      <c r="A13" t="str">
        <f>'1_Gov_purchases_by_BEA'!A13</f>
      </c>
      <c r="B13" t="str">
        <f>'1_Gov_purchases_by_BEA'!B13+'2_HH_purchases_by_BEA'!B13+'3_Intl_purchases_by_BEA'!B13+'4_DomInd_purchases_by_BEA'!B13</f>
      </c>
    </row>
    <row r="14">
      <c r="A14" t="str">
        <f>'1_Gov_purchases_by_BEA'!A14</f>
      </c>
      <c r="B14" t="str">
        <f>'1_Gov_purchases_by_BEA'!B14+'2_HH_purchases_by_BEA'!B14+'3_Intl_purchases_by_BEA'!B14+'4_DomInd_purchases_by_BEA'!B14</f>
      </c>
    </row>
    <row r="15">
      <c r="A15" t="str">
        <f>'1_Gov_purchases_by_BEA'!A15</f>
      </c>
      <c r="B15" t="str">
        <f>'1_Gov_purchases_by_BEA'!B15+'2_HH_purchases_by_BEA'!B15+'3_Intl_purchases_by_BEA'!B15+'4_DomInd_purchases_by_BEA'!B15</f>
      </c>
    </row>
    <row r="16">
      <c r="A16" t="str">
        <f>'1_Gov_purchases_by_BEA'!A16</f>
      </c>
      <c r="B16" t="str">
        <f>'1_Gov_purchases_by_BEA'!B16+'2_HH_purchases_by_BEA'!B16+'3_Intl_purchases_by_BEA'!B16+'4_DomInd_purchases_by_BEA'!B16</f>
      </c>
    </row>
    <row r="17">
      <c r="A17" t="str">
        <f>'1_Gov_purchases_by_BEA'!A17</f>
      </c>
      <c r="B17" t="str">
        <f>'1_Gov_purchases_by_BEA'!B17+'2_HH_purchases_by_BEA'!B17+'3_Intl_purchases_by_BEA'!B17+'4_DomInd_purchases_by_BEA'!B17</f>
      </c>
    </row>
    <row r="18">
      <c r="A18" t="str">
        <f>'1_Gov_purchases_by_BEA'!A18</f>
      </c>
      <c r="B18" t="str">
        <f>'1_Gov_purchases_by_BEA'!B18+'2_HH_purchases_by_BEA'!B18+'3_Intl_purchases_by_BEA'!B18+'4_DomInd_purchases_by_BEA'!B18</f>
      </c>
    </row>
    <row r="19">
      <c r="A19" t="str">
        <f>'1_Gov_purchases_by_BEA'!A19</f>
      </c>
      <c r="B19" t="str">
        <f>'1_Gov_purchases_by_BEA'!B19+'2_HH_purchases_by_BEA'!B19+'3_Intl_purchases_by_BEA'!B19+'4_DomInd_purchases_by_BEA'!B19</f>
      </c>
    </row>
    <row r="20">
      <c r="A20" t="str">
        <f>'1_Gov_purchases_by_BEA'!A20</f>
      </c>
      <c r="B20" t="str">
        <f>'1_Gov_purchases_by_BEA'!B20+'2_HH_purchases_by_BEA'!B20+'3_Intl_purchases_by_BEA'!B20+'4_DomInd_purchases_by_BEA'!B20</f>
      </c>
    </row>
    <row r="21">
      <c r="A21" t="str">
        <f>'1_Gov_purchases_by_BEA'!A21</f>
      </c>
      <c r="B21" t="str">
        <f>'1_Gov_purchases_by_BEA'!B21+'2_HH_purchases_by_BEA'!B21+'3_Intl_purchases_by_BEA'!B21+'4_DomInd_purchases_by_BEA'!B21</f>
      </c>
    </row>
    <row r="22">
      <c r="A22" t="str">
        <f>'1_Gov_purchases_by_BEA'!A22</f>
      </c>
      <c r="B22" t="str">
        <f>'1_Gov_purchases_by_BEA'!B22+'2_HH_purchases_by_BEA'!B22+'3_Intl_purchases_by_BEA'!B22+'4_DomInd_purchases_by_BEA'!B22</f>
      </c>
    </row>
    <row r="23">
      <c r="A23" t="str">
        <f>'1_Gov_purchases_by_BEA'!A23</f>
      </c>
      <c r="B23" t="str">
        <f>'1_Gov_purchases_by_BEA'!B23+'2_HH_purchases_by_BEA'!B23+'3_Intl_purchases_by_BEA'!B23+'4_DomInd_purchases_by_BEA'!B23</f>
      </c>
    </row>
    <row r="24">
      <c r="A24" t="str">
        <f>'1_Gov_purchases_by_BEA'!A24</f>
      </c>
      <c r="B24" t="str">
        <f>'1_Gov_purchases_by_BEA'!B24+'2_HH_purchases_by_BEA'!B24+'3_Intl_purchases_by_BEA'!B24+'4_DomInd_purchases_by_BEA'!B24</f>
      </c>
    </row>
    <row r="25">
      <c r="A25" t="str">
        <f>'1_Gov_purchases_by_BEA'!A25</f>
      </c>
      <c r="B25" t="str">
        <f>'1_Gov_purchases_by_BEA'!B25+'2_HH_purchases_by_BEA'!B25+'3_Intl_purchases_by_BEA'!B25+'4_DomInd_purchases_by_BEA'!B25</f>
      </c>
    </row>
    <row r="26">
      <c r="A26" t="str">
        <f>'1_Gov_purchases_by_BEA'!A26</f>
      </c>
      <c r="B26" t="str">
        <f>'1_Gov_purchases_by_BEA'!B26+'2_HH_purchases_by_BEA'!B26+'3_Intl_purchases_by_BEA'!B26+'4_DomInd_purchases_by_BEA'!B26</f>
      </c>
    </row>
    <row r="27">
      <c r="A27" t="str">
        <f>'1_Gov_purchases_by_BEA'!A27</f>
      </c>
      <c r="B27" t="str">
        <f>'1_Gov_purchases_by_BEA'!B27+'2_HH_purchases_by_BEA'!B27+'3_Intl_purchases_by_BEA'!B27+'4_DomInd_purchases_by_BEA'!B27</f>
      </c>
    </row>
    <row r="28">
      <c r="A28" t="str">
        <f>'1_Gov_purchases_by_BEA'!A28</f>
      </c>
      <c r="B28" t="str">
        <f>'1_Gov_purchases_by_BEA'!B28+'2_HH_purchases_by_BEA'!B28+'3_Intl_purchases_by_BEA'!B28+'4_DomInd_purchases_by_BEA'!B28</f>
      </c>
    </row>
    <row r="29">
      <c r="A29" t="str">
        <f>'1_Gov_purchases_by_BEA'!A29</f>
      </c>
      <c r="B29" t="str">
        <f>'1_Gov_purchases_by_BEA'!B29+'2_HH_purchases_by_BEA'!B29+'3_Intl_purchases_by_BEA'!B29+'4_DomInd_purchases_by_BEA'!B29</f>
      </c>
    </row>
    <row r="30">
      <c r="A30" t="str">
        <f>'1_Gov_purchases_by_BEA'!A30</f>
      </c>
      <c r="B30" t="str">
        <f>'1_Gov_purchases_by_BEA'!B30+'2_HH_purchases_by_BEA'!B30+'3_Intl_purchases_by_BEA'!B30+'4_DomInd_purchases_by_BEA'!B30</f>
      </c>
    </row>
    <row r="31">
      <c r="A31" t="str">
        <f>'1_Gov_purchases_by_BEA'!A31</f>
      </c>
      <c r="B31" t="str">
        <f>'1_Gov_purchases_by_BEA'!B31+'2_HH_purchases_by_BEA'!B31+'3_Intl_purchases_by_BEA'!B31+'4_DomInd_purchases_by_BEA'!B31</f>
      </c>
    </row>
    <row r="32">
      <c r="A32" t="str">
        <f>'1_Gov_purchases_by_BEA'!A32</f>
      </c>
      <c r="B32" t="str">
        <f>'1_Gov_purchases_by_BEA'!B32+'2_HH_purchases_by_BEA'!B32+'3_Intl_purchases_by_BEA'!B32+'4_DomInd_purchases_by_BEA'!B32</f>
      </c>
    </row>
    <row r="33">
      <c r="A33" t="str">
        <f>'1_Gov_purchases_by_BEA'!A33</f>
      </c>
      <c r="B33" t="str">
        <f>'1_Gov_purchases_by_BEA'!B33+'2_HH_purchases_by_BEA'!B33+'3_Intl_purchases_by_BEA'!B33+'4_DomInd_purchases_by_BEA'!B33</f>
      </c>
    </row>
    <row r="34">
      <c r="A34" t="str">
        <f>'1_Gov_purchases_by_BEA'!A34</f>
      </c>
      <c r="B34" t="str">
        <f>'1_Gov_purchases_by_BEA'!B34+'2_HH_purchases_by_BEA'!B34+'3_Intl_purchases_by_BEA'!B34+'4_DomInd_purchases_by_BEA'!B34</f>
      </c>
    </row>
    <row r="35">
      <c r="A35" t="str">
        <f>'1_Gov_purchases_by_BEA'!A35</f>
      </c>
      <c r="B35" t="str">
        <f>'1_Gov_purchases_by_BEA'!B35+'2_HH_purchases_by_BEA'!B35+'3_Intl_purchases_by_BEA'!B35+'4_DomInd_purchases_by_BEA'!B35</f>
      </c>
    </row>
    <row r="36">
      <c r="A36" t="str">
        <f>'1_Gov_purchases_by_BEA'!A36</f>
      </c>
      <c r="B36" t="str">
        <f>'1_Gov_purchases_by_BEA'!B36+'2_HH_purchases_by_BEA'!B36+'3_Intl_purchases_by_BEA'!B36+'4_DomInd_purchases_by_BEA'!B36</f>
      </c>
    </row>
    <row r="37">
      <c r="A37" t="str">
        <f>'1_Gov_purchases_by_BEA'!A37</f>
      </c>
      <c r="B37" t="str">
        <f>'1_Gov_purchases_by_BEA'!B37+'2_HH_purchases_by_BEA'!B37+'3_Intl_purchases_by_BEA'!B37+'4_DomInd_purchases_by_BEA'!B37</f>
      </c>
    </row>
    <row r="38">
      <c r="A38" t="str">
        <f>'1_Gov_purchases_by_BEA'!A38</f>
      </c>
      <c r="B38" t="str">
        <f>'1_Gov_purchases_by_BEA'!B38+'2_HH_purchases_by_BEA'!B38+'3_Intl_purchases_by_BEA'!B38+'4_DomInd_purchases_by_BEA'!B38</f>
      </c>
    </row>
    <row r="39">
      <c r="A39" t="str">
        <f>'1_Gov_purchases_by_BEA'!A39</f>
      </c>
      <c r="B39" t="str">
        <f>'1_Gov_purchases_by_BEA'!B39+'2_HH_purchases_by_BEA'!B39+'3_Intl_purchases_by_BEA'!B39+'4_DomInd_purchases_by_BEA'!B39</f>
      </c>
    </row>
    <row r="40">
      <c r="A40" t="str">
        <f>'1_Gov_purchases_by_BEA'!A40</f>
      </c>
      <c r="B40" t="str">
        <f>'1_Gov_purchases_by_BEA'!B40+'2_HH_purchases_by_BEA'!B40+'3_Intl_purchases_by_BEA'!B40+'4_DomInd_purchases_by_BEA'!B40</f>
      </c>
    </row>
    <row r="41">
      <c r="A41" t="str">
        <f>'1_Gov_purchases_by_BEA'!A41</f>
      </c>
      <c r="B41" t="str">
        <f>'1_Gov_purchases_by_BEA'!B41+'2_HH_purchases_by_BEA'!B41+'3_Intl_purchases_by_BEA'!B41+'4_DomInd_purchases_by_BEA'!B41</f>
      </c>
    </row>
    <row r="42">
      <c r="A42" t="str">
        <f>'1_Gov_purchases_by_BEA'!A42</f>
      </c>
      <c r="B42" t="str">
        <f>'1_Gov_purchases_by_BEA'!B42+'2_HH_purchases_by_BEA'!B42+'3_Intl_purchases_by_BEA'!B42+'4_DomInd_purchases_by_BEA'!B42</f>
      </c>
    </row>
    <row r="43">
      <c r="A43" t="str">
        <f>'1_Gov_purchases_by_BEA'!A43</f>
      </c>
      <c r="B43" t="str">
        <f>'1_Gov_purchases_by_BEA'!B43+'2_HH_purchases_by_BEA'!B43+'3_Intl_purchases_by_BEA'!B43+'4_DomInd_purchases_by_BEA'!B43</f>
      </c>
    </row>
    <row r="44">
      <c r="A44" t="str">
        <f>'1_Gov_purchases_by_BEA'!A44</f>
      </c>
      <c r="B44" t="str">
        <f>'1_Gov_purchases_by_BEA'!B44+'2_HH_purchases_by_BEA'!B44+'3_Intl_purchases_by_BEA'!B44+'4_DomInd_purchases_by_BEA'!B44</f>
      </c>
    </row>
    <row r="45">
      <c r="A45" t="str">
        <f>'1_Gov_purchases_by_BEA'!A45</f>
      </c>
      <c r="B45" t="str">
        <f>'1_Gov_purchases_by_BEA'!B45+'2_HH_purchases_by_BEA'!B45+'3_Intl_purchases_by_BEA'!B45+'4_DomInd_purchases_by_BEA'!B45</f>
      </c>
    </row>
    <row r="46">
      <c r="A46" t="str">
        <f>'1_Gov_purchases_by_BEA'!A46</f>
      </c>
      <c r="B46" t="str">
        <f>'1_Gov_purchases_by_BEA'!B46+'2_HH_purchases_by_BEA'!B46+'3_Intl_purchases_by_BEA'!B46+'4_DomInd_purchases_by_BEA'!B46</f>
      </c>
    </row>
    <row r="47">
      <c r="A47" t="str">
        <f>'1_Gov_purchases_by_BEA'!A47</f>
      </c>
      <c r="B47" t="str">
        <f>'1_Gov_purchases_by_BEA'!B47+'2_HH_purchases_by_BEA'!B47+'3_Intl_purchases_by_BEA'!B47+'4_DomInd_purchases_by_BEA'!B47</f>
      </c>
    </row>
    <row r="48">
      <c r="A48" t="str">
        <f>'1_Gov_purchases_by_BEA'!A48</f>
      </c>
      <c r="B48" t="str">
        <f>'1_Gov_purchases_by_BEA'!B48+'2_HH_purchases_by_BEA'!B48+'3_Intl_purchases_by_BEA'!B48+'4_DomInd_purchases_by_BEA'!B48</f>
      </c>
    </row>
    <row r="49">
      <c r="A49" t="str">
        <f>'1_Gov_purchases_by_BEA'!A49</f>
      </c>
      <c r="B49" t="str">
        <f>'1_Gov_purchases_by_BEA'!B49+'2_HH_purchases_by_BEA'!B49+'3_Intl_purchases_by_BEA'!B49+'4_DomInd_purchases_by_BEA'!B49</f>
      </c>
    </row>
    <row r="50">
      <c r="A50" t="str">
        <f>'1_Gov_purchases_by_BEA'!A50</f>
      </c>
      <c r="B50" t="str">
        <f>'1_Gov_purchases_by_BEA'!B50+'2_HH_purchases_by_BEA'!B50+'3_Intl_purchases_by_BEA'!B50+'4_DomInd_purchases_by_BEA'!B50</f>
      </c>
    </row>
    <row r="51">
      <c r="A51" t="str">
        <f>'1_Gov_purchases_by_BEA'!A51</f>
      </c>
      <c r="B51" t="str">
        <f>'1_Gov_purchases_by_BEA'!B51+'2_HH_purchases_by_BEA'!B51+'3_Intl_purchases_by_BEA'!B51+'4_DomInd_purchases_by_BEA'!B51</f>
      </c>
    </row>
    <row r="52">
      <c r="A52" t="str">
        <f>'1_Gov_purchases_by_BEA'!A52</f>
      </c>
      <c r="B52" t="str">
        <f>'1_Gov_purchases_by_BEA'!B52+'2_HH_purchases_by_BEA'!B52+'3_Intl_purchases_by_BEA'!B52+'4_DomInd_purchases_by_BEA'!B52</f>
      </c>
    </row>
    <row r="53">
      <c r="A53" t="str">
        <f>'1_Gov_purchases_by_BEA'!A53</f>
      </c>
      <c r="B53" t="str">
        <f>'1_Gov_purchases_by_BEA'!B53+'2_HH_purchases_by_BEA'!B53+'3_Intl_purchases_by_BEA'!B53+'4_DomInd_purchases_by_BEA'!B53</f>
      </c>
    </row>
    <row r="54">
      <c r="A54" t="str">
        <f>'1_Gov_purchases_by_BEA'!A54</f>
      </c>
      <c r="B54" t="str">
        <f>'1_Gov_purchases_by_BEA'!B54+'2_HH_purchases_by_BEA'!B54+'3_Intl_purchases_by_BEA'!B54+'4_DomInd_purchases_by_BEA'!B54</f>
      </c>
    </row>
    <row r="55">
      <c r="A55" t="str">
        <f>'1_Gov_purchases_by_BEA'!A55</f>
      </c>
      <c r="B55" t="str">
        <f>'1_Gov_purchases_by_BEA'!B55+'2_HH_purchases_by_BEA'!B55+'3_Intl_purchases_by_BEA'!B55+'4_DomInd_purchases_by_BEA'!B55</f>
      </c>
    </row>
    <row r="56">
      <c r="A56" t="str">
        <f>'1_Gov_purchases_by_BEA'!A56</f>
      </c>
      <c r="B56" t="str">
        <f>'1_Gov_purchases_by_BEA'!B56+'2_HH_purchases_by_BEA'!B56+'3_Intl_purchases_by_BEA'!B56+'4_DomInd_purchases_by_BEA'!B56</f>
      </c>
    </row>
    <row r="57">
      <c r="A57" t="str">
        <f>'1_Gov_purchases_by_BEA'!A57</f>
      </c>
      <c r="B57" t="str">
        <f>'1_Gov_purchases_by_BEA'!B57+'2_HH_purchases_by_BEA'!B57+'3_Intl_purchases_by_BEA'!B57+'4_DomInd_purchases_by_BEA'!B57</f>
      </c>
    </row>
    <row r="58">
      <c r="A58" t="str">
        <f>'1_Gov_purchases_by_BEA'!A58</f>
      </c>
      <c r="B58" t="str">
        <f>'1_Gov_purchases_by_BEA'!B58+'2_HH_purchases_by_BEA'!B58+'3_Intl_purchases_by_BEA'!B58+'4_DomInd_purchases_by_BEA'!B58</f>
      </c>
    </row>
    <row r="59">
      <c r="A59" t="str">
        <f>'1_Gov_purchases_by_BEA'!A59</f>
      </c>
      <c r="B59" t="str">
        <f>'1_Gov_purchases_by_BEA'!B59+'2_HH_purchases_by_BEA'!B59+'3_Intl_purchases_by_BEA'!B59+'4_DomInd_purchases_by_BEA'!B59</f>
      </c>
    </row>
    <row r="60">
      <c r="A60" t="str">
        <f>'1_Gov_purchases_by_BEA'!A60</f>
      </c>
      <c r="B60" t="str">
        <f>'1_Gov_purchases_by_BEA'!B60+'2_HH_purchases_by_BEA'!B60+'3_Intl_purchases_by_BEA'!B60+'4_DomInd_purchases_by_BEA'!B60</f>
      </c>
    </row>
    <row r="61">
      <c r="A61" t="str">
        <f>'1_Gov_purchases_by_BEA'!A61</f>
      </c>
      <c r="B61" t="str">
        <f>'1_Gov_purchases_by_BEA'!B61+'2_HH_purchases_by_BEA'!B61+'3_Intl_purchases_by_BEA'!B61+'4_DomInd_purchases_by_BEA'!B61</f>
      </c>
    </row>
    <row r="62">
      <c r="A62" t="str">
        <f>'1_Gov_purchases_by_BEA'!A62</f>
      </c>
      <c r="B62" t="str">
        <f>'1_Gov_purchases_by_BEA'!B62+'2_HH_purchases_by_BEA'!B62+'3_Intl_purchases_by_BEA'!B62+'4_DomInd_purchases_by_BEA'!B62</f>
      </c>
    </row>
    <row r="63">
      <c r="A63" t="str">
        <f>'1_Gov_purchases_by_BEA'!A63</f>
      </c>
      <c r="B63" t="str">
        <f>'1_Gov_purchases_by_BEA'!B63+'2_HH_purchases_by_BEA'!B63+'3_Intl_purchases_by_BEA'!B63+'4_DomInd_purchases_by_BEA'!B63</f>
      </c>
    </row>
    <row r="64">
      <c r="A64" t="str">
        <f>'1_Gov_purchases_by_BEA'!A64</f>
      </c>
      <c r="B64" t="str">
        <f>'1_Gov_purchases_by_BEA'!B64+'2_HH_purchases_by_BEA'!B64+'3_Intl_purchases_by_BEA'!B64+'4_DomInd_purchases_by_BEA'!B64</f>
      </c>
    </row>
    <row r="65">
      <c r="A65" t="str">
        <f>'1_Gov_purchases_by_BEA'!A65</f>
      </c>
      <c r="B65" t="str">
        <f>'1_Gov_purchases_by_BEA'!B65+'2_HH_purchases_by_BEA'!B65+'3_Intl_purchases_by_BEA'!B65+'4_DomInd_purchases_by_BEA'!B65</f>
      </c>
    </row>
    <row r="66">
      <c r="A66" t="str">
        <f>'1_Gov_purchases_by_BEA'!A66</f>
      </c>
      <c r="B66" t="str">
        <f>'1_Gov_purchases_by_BEA'!B66+'2_HH_purchases_by_BEA'!B66+'3_Intl_purchases_by_BEA'!B66+'4_DomInd_purchases_by_BEA'!B66</f>
      </c>
    </row>
    <row r="67">
      <c r="A67" t="str">
        <f>'1_Gov_purchases_by_BEA'!A67</f>
      </c>
      <c r="B67" t="str">
        <f>'1_Gov_purchases_by_BEA'!B67+'2_HH_purchases_by_BEA'!B67+'3_Intl_purchases_by_BEA'!B67+'4_DomInd_purchases_by_BEA'!B67</f>
      </c>
    </row>
    <row r="68">
      <c r="A68" t="str">
        <f>'1_Gov_purchases_by_BEA'!A68</f>
      </c>
      <c r="B68" t="str">
        <f>'1_Gov_purchases_by_BEA'!B68+'2_HH_purchases_by_BEA'!B68+'3_Intl_purchases_by_BEA'!B68+'4_DomInd_purchases_by_BEA'!B68</f>
      </c>
    </row>
    <row r="69">
      <c r="A69" t="str">
        <f>'1_Gov_purchases_by_BEA'!A69</f>
      </c>
      <c r="B69" t="str">
        <f>'1_Gov_purchases_by_BEA'!B69+'2_HH_purchases_by_BEA'!B69+'3_Intl_purchases_by_BEA'!B69+'4_DomInd_purchases_by_BEA'!B69</f>
      </c>
    </row>
    <row r="70">
      <c r="A70" t="str">
        <f>'1_Gov_purchases_by_BEA'!A70</f>
      </c>
      <c r="B70" t="str">
        <f>'1_Gov_purchases_by_BEA'!B70+'2_HH_purchases_by_BEA'!B70+'3_Intl_purchases_by_BEA'!B70+'4_DomInd_purchases_by_BEA'!B70</f>
      </c>
    </row>
    <row r="71">
      <c r="A71" t="str">
        <f>'1_Gov_purchases_by_BEA'!A71</f>
      </c>
      <c r="B71" t="str">
        <f>'1_Gov_purchases_by_BEA'!B71+'2_HH_purchases_by_BEA'!B71+'3_Intl_purchases_by_BEA'!B71+'4_DomInd_purchases_by_BEA'!B71</f>
      </c>
    </row>
    <row r="72">
      <c r="A72" t="str">
        <f>'1_Gov_purchases_by_BEA'!A72</f>
      </c>
      <c r="B72" t="str">
        <f>'1_Gov_purchases_by_BEA'!B72+'2_HH_purchases_by_BEA'!B72+'3_Intl_purchases_by_BEA'!B72+'4_DomInd_purchases_by_BEA'!B72</f>
      </c>
    </row>
    <row r="73">
      <c r="A73" t="str">
        <f>'1_Gov_purchases_by_BEA'!A73</f>
      </c>
      <c r="B73" t="str">
        <f>'1_Gov_purchases_by_BEA'!B73+'2_HH_purchases_by_BEA'!B73+'3_Intl_purchases_by_BEA'!B73+'4_DomInd_purchases_by_BEA'!B73</f>
      </c>
    </row>
    <row r="74">
      <c r="A74" t="str">
        <f>'1_Gov_purchases_by_BEA'!A74</f>
      </c>
      <c r="B74" t="str">
        <f>'1_Gov_purchases_by_BEA'!B74+'2_HH_purchases_by_BEA'!B74+'3_Intl_purchases_by_BEA'!B74+'4_DomInd_purchases_by_BEA'!B74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182</v>
      </c>
      <c r="B1" t="s">
        <v>183</v>
      </c>
    </row>
    <row r="2">
      <c r="A2" t="s">
        <v>184</v>
      </c>
      <c r="B2" t="n">
        <v>4426116559.47014</v>
      </c>
    </row>
    <row r="3">
      <c r="A3" t="s">
        <v>185</v>
      </c>
      <c r="B3" t="n">
        <v>12698342038.4627</v>
      </c>
    </row>
    <row r="4">
      <c r="A4" t="s">
        <v>186</v>
      </c>
      <c r="B4" t="n">
        <v>7485296674.2432</v>
      </c>
    </row>
    <row r="5">
      <c r="A5" t="s">
        <v>187</v>
      </c>
      <c r="B5" t="n">
        <v>35064720015.4618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188</v>
      </c>
      <c r="B1" t="s">
        <v>189</v>
      </c>
    </row>
    <row r="2">
      <c r="A2" t="s">
        <v>190</v>
      </c>
      <c r="B2" t="n">
        <v>3111252507.22916</v>
      </c>
    </row>
    <row r="3">
      <c r="A3" t="s">
        <v>191</v>
      </c>
      <c r="B3" t="n">
        <v>120073797.408326</v>
      </c>
    </row>
    <row r="4">
      <c r="A4" t="s">
        <v>192</v>
      </c>
      <c r="B4" t="n">
        <v>4797770966.77277</v>
      </c>
    </row>
    <row r="5">
      <c r="A5" t="s">
        <v>193</v>
      </c>
      <c r="B5" t="n">
        <v>372892527.975421</v>
      </c>
    </row>
    <row r="6">
      <c r="A6" t="s">
        <v>194</v>
      </c>
      <c r="B6" t="n">
        <v>64153800.8683397</v>
      </c>
    </row>
    <row r="7">
      <c r="A7" t="s">
        <v>195</v>
      </c>
      <c r="B7" t="n">
        <v>2639167478.23602</v>
      </c>
    </row>
    <row r="8">
      <c r="A8" t="s">
        <v>196</v>
      </c>
      <c r="B8" t="n">
        <v>653091980.154369</v>
      </c>
    </row>
    <row r="9">
      <c r="A9" t="s">
        <v>197</v>
      </c>
      <c r="B9" t="n">
        <v>1145924613.53984</v>
      </c>
    </row>
    <row r="10">
      <c r="A10" t="s">
        <v>198</v>
      </c>
      <c r="B10" t="n">
        <v>1585685209.19906</v>
      </c>
    </row>
    <row r="11">
      <c r="A11" t="s">
        <v>199</v>
      </c>
      <c r="B11" t="n">
        <v>2484243651.21981</v>
      </c>
    </row>
    <row r="12">
      <c r="A12" t="s">
        <v>200</v>
      </c>
      <c r="B12" t="n">
        <v>3395785299.33976</v>
      </c>
    </row>
    <row r="13">
      <c r="A13" t="s">
        <v>201</v>
      </c>
      <c r="B13" t="n">
        <v>377309477.704418</v>
      </c>
    </row>
    <row r="14">
      <c r="A14" t="s">
        <v>110</v>
      </c>
      <c r="B14" t="n">
        <v>1643143135.497</v>
      </c>
    </row>
    <row r="15">
      <c r="A15" t="s">
        <v>202</v>
      </c>
      <c r="B15" t="n">
        <v>196753289.383348</v>
      </c>
    </row>
    <row r="16">
      <c r="A16" t="s">
        <v>203</v>
      </c>
      <c r="B16" t="n">
        <v>590259868.150045</v>
      </c>
    </row>
    <row r="17">
      <c r="A17" t="s">
        <v>204</v>
      </c>
      <c r="B17" t="n">
        <v>1959280155.76997</v>
      </c>
    </row>
    <row r="18">
      <c r="A18" t="s">
        <v>205</v>
      </c>
      <c r="B18" t="n">
        <v>619487591.847856</v>
      </c>
    </row>
    <row r="19">
      <c r="A19" t="s">
        <v>206</v>
      </c>
      <c r="B19" t="n">
        <v>2443628913.46478</v>
      </c>
    </row>
    <row r="20">
      <c r="A20" t="s">
        <v>207</v>
      </c>
      <c r="B20" t="n">
        <v>1128875068.05792</v>
      </c>
    </row>
    <row r="21">
      <c r="A21" t="s">
        <v>208</v>
      </c>
      <c r="B21" t="n">
        <v>764974771.542959</v>
      </c>
    </row>
    <row r="22">
      <c r="A22" t="s">
        <v>209</v>
      </c>
      <c r="B22" t="n">
        <v>1349783367.46769</v>
      </c>
    </row>
    <row r="23">
      <c r="A23" t="s">
        <v>210</v>
      </c>
      <c r="B23" t="n">
        <v>3185508799.45005</v>
      </c>
    </row>
    <row r="24">
      <c r="A24" t="s">
        <v>211</v>
      </c>
      <c r="B24" t="n">
        <v>1023201570.61242</v>
      </c>
    </row>
    <row r="25">
      <c r="A25" t="s">
        <v>212</v>
      </c>
      <c r="B25" t="n">
        <v>666307667.637662</v>
      </c>
    </row>
    <row r="26">
      <c r="A26" t="s">
        <v>213</v>
      </c>
      <c r="B26" t="n">
        <v>1831960970.12632</v>
      </c>
    </row>
    <row r="27">
      <c r="A27" t="s">
        <v>214</v>
      </c>
      <c r="B27" t="n">
        <v>1040585271.09813</v>
      </c>
    </row>
    <row r="28">
      <c r="A28" t="s">
        <v>215</v>
      </c>
      <c r="B28" t="n">
        <v>786871254.551483</v>
      </c>
    </row>
    <row r="29">
      <c r="A29" t="s">
        <v>216</v>
      </c>
      <c r="B29" t="n">
        <v>1854453376.5397</v>
      </c>
    </row>
    <row r="30">
      <c r="A30" t="s">
        <v>217</v>
      </c>
      <c r="B30" t="n">
        <v>7966400946.94524</v>
      </c>
    </row>
    <row r="31">
      <c r="A31" t="s">
        <v>218</v>
      </c>
      <c r="B31" t="n">
        <v>5662205195.99792</v>
      </c>
    </row>
    <row r="32">
      <c r="A32" t="s">
        <v>219</v>
      </c>
      <c r="B32" t="n">
        <v>1423229109.52969</v>
      </c>
    </row>
    <row r="33">
      <c r="A33" t="s">
        <v>220</v>
      </c>
      <c r="B33" t="n">
        <v>978734960.47872</v>
      </c>
    </row>
    <row r="34">
      <c r="A34" t="s">
        <v>161</v>
      </c>
      <c r="B34" t="n">
        <v>1396385873.5328</v>
      </c>
    </row>
    <row r="35">
      <c r="A35" t="s">
        <v>221</v>
      </c>
      <c r="B35" t="n">
        <v>2537580434.92338</v>
      </c>
    </row>
    <row r="36">
      <c r="A36" t="s">
        <v>222</v>
      </c>
      <c r="B36" t="n">
        <v>7915977406.42816</v>
      </c>
    </row>
    <row r="37">
      <c r="A37" t="s">
        <v>223</v>
      </c>
      <c r="B37" t="n">
        <v>6179268533.62375</v>
      </c>
    </row>
    <row r="38">
      <c r="A38" t="s">
        <v>224</v>
      </c>
      <c r="B38" t="n">
        <v>16877687725.101</v>
      </c>
    </row>
    <row r="39">
      <c r="A39" t="s">
        <v>225</v>
      </c>
      <c r="B39" t="n">
        <v>594460301.104979</v>
      </c>
    </row>
    <row r="40">
      <c r="A40" t="s">
        <v>226</v>
      </c>
      <c r="B40" t="n">
        <v>129763066.573636</v>
      </c>
    </row>
    <row r="41">
      <c r="A41" t="s">
        <v>227</v>
      </c>
      <c r="B41" t="n">
        <v>279723416.129475</v>
      </c>
    </row>
    <row r="42">
      <c r="A42" t="s">
        <v>228</v>
      </c>
      <c r="B42" t="n">
        <v>1890376219.73388</v>
      </c>
    </row>
    <row r="43">
      <c r="A43" t="s">
        <v>229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230</v>
      </c>
    </row>
    <row r="2">
      <c r="A2" t="s">
        <v>231</v>
      </c>
    </row>
    <row r="3">
      <c r="A3" t="s">
        <v>232</v>
      </c>
    </row>
    <row r="4">
      <c r="A4" t="s">
        <v>233</v>
      </c>
    </row>
    <row r="5">
      <c r="A5" t="s">
        <v>234</v>
      </c>
    </row>
    <row r="6">
      <c r="A6" t="s">
        <v>235</v>
      </c>
    </row>
    <row r="7">
      <c r="A7" t="s">
        <v>1</v>
      </c>
    </row>
    <row r="9">
      <c r="A9" t="s">
        <v>236</v>
      </c>
      <c r="B9" t="s">
        <v>105</v>
      </c>
      <c r="C9" t="s">
        <v>106</v>
      </c>
      <c r="D9" t="s">
        <v>107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116</v>
      </c>
      <c r="N9" t="s">
        <v>117</v>
      </c>
      <c r="O9" t="s">
        <v>118</v>
      </c>
      <c r="P9" t="s">
        <v>119</v>
      </c>
      <c r="Q9" t="s">
        <v>120</v>
      </c>
      <c r="R9" t="s">
        <v>121</v>
      </c>
      <c r="S9" t="s">
        <v>122</v>
      </c>
      <c r="T9" t="s">
        <v>123</v>
      </c>
      <c r="U9" t="s">
        <v>124</v>
      </c>
      <c r="V9" t="s">
        <v>125</v>
      </c>
      <c r="W9" t="s">
        <v>126</v>
      </c>
      <c r="X9" t="s">
        <v>127</v>
      </c>
      <c r="Y9" t="s">
        <v>128</v>
      </c>
      <c r="Z9" t="s">
        <v>129</v>
      </c>
      <c r="AA9" t="s">
        <v>130</v>
      </c>
      <c r="AB9" t="s">
        <v>131</v>
      </c>
      <c r="AC9" t="s">
        <v>132</v>
      </c>
      <c r="AD9" t="s">
        <v>133</v>
      </c>
      <c r="AE9" t="s">
        <v>134</v>
      </c>
      <c r="AF9" t="s">
        <v>135</v>
      </c>
      <c r="AG9" t="s">
        <v>136</v>
      </c>
      <c r="AH9" t="s">
        <v>137</v>
      </c>
      <c r="AI9" t="s">
        <v>138</v>
      </c>
      <c r="AJ9" t="s">
        <v>139</v>
      </c>
      <c r="AK9" t="s">
        <v>140</v>
      </c>
      <c r="AL9" t="s">
        <v>141</v>
      </c>
      <c r="AM9" t="s">
        <v>142</v>
      </c>
      <c r="AN9" t="s">
        <v>143</v>
      </c>
      <c r="AO9" t="s">
        <v>144</v>
      </c>
      <c r="AP9" t="s">
        <v>145</v>
      </c>
      <c r="AQ9" t="s">
        <v>146</v>
      </c>
      <c r="AR9" t="s">
        <v>147</v>
      </c>
      <c r="AS9" t="s">
        <v>148</v>
      </c>
      <c r="AT9" t="s">
        <v>149</v>
      </c>
      <c r="AU9" t="s">
        <v>150</v>
      </c>
      <c r="AV9" t="s">
        <v>151</v>
      </c>
      <c r="AW9" t="s">
        <v>152</v>
      </c>
      <c r="AX9" t="s">
        <v>153</v>
      </c>
      <c r="AY9" t="s">
        <v>154</v>
      </c>
      <c r="AZ9" t="s">
        <v>155</v>
      </c>
      <c r="BA9" t="s">
        <v>156</v>
      </c>
      <c r="BB9" t="s">
        <v>157</v>
      </c>
      <c r="BC9" t="s">
        <v>158</v>
      </c>
      <c r="BD9" t="s">
        <v>159</v>
      </c>
      <c r="BE9" t="s">
        <v>160</v>
      </c>
      <c r="BF9" t="s">
        <v>161</v>
      </c>
      <c r="BG9" t="s">
        <v>162</v>
      </c>
      <c r="BH9" t="s">
        <v>163</v>
      </c>
      <c r="BI9" t="s">
        <v>164</v>
      </c>
      <c r="BJ9" t="s">
        <v>165</v>
      </c>
      <c r="BK9" t="s">
        <v>166</v>
      </c>
      <c r="BL9" t="s">
        <v>167</v>
      </c>
      <c r="BM9" t="s">
        <v>168</v>
      </c>
      <c r="BN9" t="s">
        <v>169</v>
      </c>
      <c r="BO9" t="s">
        <v>170</v>
      </c>
      <c r="BP9" t="s">
        <v>171</v>
      </c>
      <c r="BQ9" t="s">
        <v>172</v>
      </c>
      <c r="BR9" t="s">
        <v>173</v>
      </c>
      <c r="BS9" t="s">
        <v>174</v>
      </c>
      <c r="BT9" t="s">
        <v>175</v>
      </c>
      <c r="BU9" t="s">
        <v>237</v>
      </c>
      <c r="BV9" t="s">
        <v>238</v>
      </c>
      <c r="BW9" t="s">
        <v>239</v>
      </c>
      <c r="BX9" t="s">
        <v>240</v>
      </c>
      <c r="BY9" t="s">
        <v>241</v>
      </c>
      <c r="BZ9" t="s">
        <v>242</v>
      </c>
      <c r="CA9" t="s">
        <v>243</v>
      </c>
      <c r="CB9" t="s">
        <v>244</v>
      </c>
      <c r="CC9" t="s">
        <v>245</v>
      </c>
      <c r="CD9" t="s">
        <v>246</v>
      </c>
      <c r="CE9" t="s">
        <v>247</v>
      </c>
      <c r="CF9" t="s">
        <v>248</v>
      </c>
      <c r="CG9" t="s">
        <v>249</v>
      </c>
      <c r="CH9" t="s">
        <v>250</v>
      </c>
      <c r="CI9" t="s">
        <v>251</v>
      </c>
      <c r="CJ9" t="s">
        <v>252</v>
      </c>
      <c r="CK9" t="s">
        <v>253</v>
      </c>
      <c r="CL9" t="s">
        <v>254</v>
      </c>
      <c r="CM9" t="s">
        <v>255</v>
      </c>
      <c r="CN9" t="s">
        <v>256</v>
      </c>
    </row>
    <row r="10">
      <c r="A10" t="s">
        <v>105</v>
      </c>
      <c r="B10" t="n">
        <v>419231578.255701</v>
      </c>
      <c r="C10" t="n">
        <v>1975178.70246241</v>
      </c>
      <c r="D10" t="n">
        <v>0</v>
      </c>
      <c r="E10" t="n">
        <v>58732.7462184989</v>
      </c>
      <c r="F10" t="n">
        <v>37595.6220549795</v>
      </c>
      <c r="G10" t="n">
        <v>0</v>
      </c>
      <c r="H10" t="n">
        <v>2683809.89258073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252555.963906978</v>
      </c>
      <c r="T10" t="n">
        <v>573522599.552799</v>
      </c>
      <c r="U10" t="n">
        <v>12716668.6000646</v>
      </c>
      <c r="V10" t="n">
        <v>0</v>
      </c>
      <c r="W10" t="n">
        <v>0</v>
      </c>
      <c r="X10" t="n">
        <v>0</v>
      </c>
      <c r="Y10" t="n">
        <v>0</v>
      </c>
      <c r="Z10" t="n">
        <v>17225547.7884999</v>
      </c>
      <c r="AA10" t="n">
        <v>0</v>
      </c>
      <c r="AB10" t="n">
        <v>1570630.02356065</v>
      </c>
      <c r="AC10" t="n">
        <v>2514333.85083214</v>
      </c>
      <c r="AD10" t="n">
        <v>2262781.65878421</v>
      </c>
      <c r="AE10" t="n">
        <v>842047.351635493</v>
      </c>
      <c r="AF10" t="n">
        <v>1117519.98002057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97255.6190372705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1763.53440011427</v>
      </c>
      <c r="AT10" t="n">
        <v>0</v>
      </c>
      <c r="AU10" t="n">
        <v>0</v>
      </c>
      <c r="AV10" t="n">
        <v>0</v>
      </c>
      <c r="AW10" t="n">
        <v>0</v>
      </c>
      <c r="AX10" t="n">
        <v>5799.35273331779</v>
      </c>
      <c r="AY10" t="n">
        <v>0</v>
      </c>
      <c r="AZ10" t="n">
        <v>1551.04791132925</v>
      </c>
      <c r="BA10" t="n">
        <v>0</v>
      </c>
      <c r="BB10" t="n">
        <v>1015513.61896507</v>
      </c>
      <c r="BC10" t="n">
        <v>33240.4489149516</v>
      </c>
      <c r="BD10" t="n">
        <v>3856376.67024242</v>
      </c>
      <c r="BE10" t="n">
        <v>0</v>
      </c>
      <c r="BF10" t="n">
        <v>314881.148616089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1258977.42689792</v>
      </c>
      <c r="BM10" t="n">
        <v>229901.001155593</v>
      </c>
      <c r="BN10" t="n">
        <v>21408090.9287829</v>
      </c>
      <c r="BO10" t="n">
        <v>45763.9966815045</v>
      </c>
      <c r="BP10" t="n">
        <v>67395.997569933</v>
      </c>
      <c r="BQ10" t="n">
        <v>-648244.668077754</v>
      </c>
      <c r="BR10" t="n">
        <v>0</v>
      </c>
      <c r="BS10" t="n">
        <v>15105644.2809011</v>
      </c>
      <c r="BT10" t="n">
        <v>0</v>
      </c>
      <c r="BU10" t="n">
        <v>384478626.706991</v>
      </c>
      <c r="BV10" t="n">
        <v>0</v>
      </c>
      <c r="BW10" t="n">
        <v>0</v>
      </c>
      <c r="BX10" t="n">
        <v>0</v>
      </c>
      <c r="BY10" t="n">
        <v>0</v>
      </c>
      <c r="BZ10" t="n">
        <v>-158217510.372083</v>
      </c>
      <c r="CA10" t="n">
        <v>556520009.962579</v>
      </c>
      <c r="CB10" t="n">
        <v>-321776848.532721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106</v>
      </c>
      <c r="B11" t="n">
        <v>206440207.212129</v>
      </c>
      <c r="C11" t="n">
        <v>54018038.1270672</v>
      </c>
      <c r="D11" t="n">
        <v>0</v>
      </c>
      <c r="E11" t="n">
        <v>409777.119079088</v>
      </c>
      <c r="F11" t="n">
        <v>0</v>
      </c>
      <c r="G11" t="n">
        <v>0</v>
      </c>
      <c r="H11" t="n">
        <v>0</v>
      </c>
      <c r="I11" t="n">
        <v>168400728.105079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2425781.79103532</v>
      </c>
      <c r="S11" t="n">
        <v>399666.149958138</v>
      </c>
      <c r="T11" t="n">
        <v>44261288.2654076</v>
      </c>
      <c r="U11" t="n">
        <v>0</v>
      </c>
      <c r="V11" t="n">
        <v>490102.289556533</v>
      </c>
      <c r="W11" t="n">
        <v>21964864.2827659</v>
      </c>
      <c r="X11" t="n">
        <v>31229.2652421281</v>
      </c>
      <c r="Y11" t="n">
        <v>0</v>
      </c>
      <c r="Z11" t="n">
        <v>814977.000079772</v>
      </c>
      <c r="AA11" t="n">
        <v>13831732.7335327</v>
      </c>
      <c r="AB11" t="n">
        <v>0</v>
      </c>
      <c r="AC11" t="n">
        <v>0</v>
      </c>
      <c r="AD11" t="n">
        <v>3484853.48208228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5777.25621992459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509230.870895256</v>
      </c>
      <c r="BC11" t="n">
        <v>53148.496258468</v>
      </c>
      <c r="BD11" t="n">
        <v>9211.61554192229</v>
      </c>
      <c r="BE11" t="n">
        <v>0</v>
      </c>
      <c r="BF11" t="n">
        <v>152963.573749585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890491.173561009</v>
      </c>
      <c r="BM11" t="n">
        <v>3354923.07923234</v>
      </c>
      <c r="BN11" t="n">
        <v>29670970.8248171</v>
      </c>
      <c r="BO11" t="n">
        <v>451957.909688534</v>
      </c>
      <c r="BP11" t="n">
        <v>0</v>
      </c>
      <c r="BQ11" t="n">
        <v>253733.026013224</v>
      </c>
      <c r="BR11" t="n">
        <v>97747.4826857133</v>
      </c>
      <c r="BS11" t="n">
        <v>29489760.4400054</v>
      </c>
      <c r="BT11" t="n">
        <v>0</v>
      </c>
      <c r="BU11" t="n">
        <v>45838695.7001152</v>
      </c>
      <c r="BV11" t="n">
        <v>0</v>
      </c>
      <c r="BW11" t="n">
        <v>0</v>
      </c>
      <c r="BX11" t="n">
        <v>0</v>
      </c>
      <c r="BY11" t="n">
        <v>0</v>
      </c>
      <c r="BZ11" t="n">
        <v>15061631.3994601</v>
      </c>
      <c r="CA11" t="n">
        <v>10319581.2663858</v>
      </c>
      <c r="CB11" t="n">
        <v>-124406278.983513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107</v>
      </c>
      <c r="B12" t="n">
        <v>0</v>
      </c>
      <c r="C12" t="n">
        <v>0</v>
      </c>
      <c r="D12" t="n">
        <v>4404318.09268261</v>
      </c>
      <c r="E12" t="n">
        <v>0</v>
      </c>
      <c r="F12" t="n">
        <v>13579.0958073754</v>
      </c>
      <c r="G12" t="n">
        <v>15867199.3385757</v>
      </c>
      <c r="H12" t="n">
        <v>0</v>
      </c>
      <c r="I12" t="n">
        <v>21480.3075248099</v>
      </c>
      <c r="J12" t="n">
        <v>97.9665361873345</v>
      </c>
      <c r="K12" t="n">
        <v>494.716324009559</v>
      </c>
      <c r="L12" t="n">
        <v>0</v>
      </c>
      <c r="M12" t="n">
        <v>0</v>
      </c>
      <c r="N12" t="n">
        <v>0</v>
      </c>
      <c r="O12" t="n">
        <v>0</v>
      </c>
      <c r="P12" t="n">
        <v>184.304701509287</v>
      </c>
      <c r="Q12" t="n">
        <v>0</v>
      </c>
      <c r="R12" t="n">
        <v>0</v>
      </c>
      <c r="S12" t="n">
        <v>0</v>
      </c>
      <c r="T12" t="n">
        <v>86.7699112008205</v>
      </c>
      <c r="U12" t="n">
        <v>0</v>
      </c>
      <c r="V12" t="n">
        <v>0</v>
      </c>
      <c r="W12" t="n">
        <v>11166.2095793508</v>
      </c>
      <c r="X12" t="n">
        <v>24.7861998491983</v>
      </c>
      <c r="Y12" t="n">
        <v>2194853339.02081</v>
      </c>
      <c r="Z12" t="n">
        <v>752720.458666227</v>
      </c>
      <c r="AA12" t="n">
        <v>0</v>
      </c>
      <c r="AB12" t="n">
        <v>4977.72578935747</v>
      </c>
      <c r="AC12" t="n">
        <v>8778.42824111247</v>
      </c>
      <c r="AD12" t="n">
        <v>0</v>
      </c>
      <c r="AE12" t="n">
        <v>204.51524153171</v>
      </c>
      <c r="AF12" t="n">
        <v>12624.7728757166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11141.9081010628</v>
      </c>
      <c r="AM12" t="n">
        <v>0</v>
      </c>
      <c r="AN12" t="n">
        <v>285279.184191593</v>
      </c>
      <c r="AO12" t="n">
        <v>23038.8325532476</v>
      </c>
      <c r="AP12" t="n">
        <v>0</v>
      </c>
      <c r="AQ12" t="n">
        <v>4017.09922904575</v>
      </c>
      <c r="AR12" t="n">
        <v>2566.10080863784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27888.6693527734</v>
      </c>
      <c r="AY12" t="n">
        <v>0</v>
      </c>
      <c r="AZ12" t="n">
        <v>0</v>
      </c>
      <c r="BA12" t="n">
        <v>22.8868912423019</v>
      </c>
      <c r="BB12" t="n">
        <v>2187.40247493903</v>
      </c>
      <c r="BC12" t="n">
        <v>3429.5031589671</v>
      </c>
      <c r="BD12" t="n">
        <v>0</v>
      </c>
      <c r="BE12" t="n">
        <v>5830.30670445526</v>
      </c>
      <c r="BF12" t="n">
        <v>227096.430810119</v>
      </c>
      <c r="BG12" t="n">
        <v>96.133272349257</v>
      </c>
      <c r="BH12" t="n">
        <v>0</v>
      </c>
      <c r="BI12" t="n">
        <v>98.5945340648957</v>
      </c>
      <c r="BJ12" t="n">
        <v>0</v>
      </c>
      <c r="BK12" t="n">
        <v>0</v>
      </c>
      <c r="BL12" t="n">
        <v>36880.5473240215</v>
      </c>
      <c r="BM12" t="n">
        <v>140.967345399983</v>
      </c>
      <c r="BN12" t="n">
        <v>91.8492489626279</v>
      </c>
      <c r="BO12" t="n">
        <v>12145.0994290435</v>
      </c>
      <c r="BP12" t="n">
        <v>0</v>
      </c>
      <c r="BQ12" t="n">
        <v>0</v>
      </c>
      <c r="BR12" t="n">
        <v>760512.067951166</v>
      </c>
      <c r="BS12" t="n">
        <v>0</v>
      </c>
      <c r="BT12" t="n">
        <v>7030631.11975209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10907019.361343</v>
      </c>
      <c r="CA12" t="n">
        <v>170829332.363934</v>
      </c>
      <c r="CB12" t="n">
        <v>-2187398733.87874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108</v>
      </c>
      <c r="B13" t="n">
        <v>5077093.66790511</v>
      </c>
      <c r="C13" t="n">
        <v>0</v>
      </c>
      <c r="D13" t="n">
        <v>47827.360950776</v>
      </c>
      <c r="E13" t="n">
        <v>14267189.9922805</v>
      </c>
      <c r="F13" t="n">
        <v>238433.991261129</v>
      </c>
      <c r="G13" t="n">
        <v>18248455.5546075</v>
      </c>
      <c r="H13" t="n">
        <v>22377540.4425653</v>
      </c>
      <c r="I13" t="n">
        <v>55115.8817703255</v>
      </c>
      <c r="J13" t="n">
        <v>23256576.4031561</v>
      </c>
      <c r="K13" t="n">
        <v>36230565.9323545</v>
      </c>
      <c r="L13" t="n">
        <v>905582.835909664</v>
      </c>
      <c r="M13" t="n">
        <v>411038.247943169</v>
      </c>
      <c r="N13" t="n">
        <v>1857.35515366077</v>
      </c>
      <c r="O13" t="n">
        <v>594950.188966796</v>
      </c>
      <c r="P13" t="n">
        <v>507761.876887122</v>
      </c>
      <c r="Q13" t="n">
        <v>282200.559951947</v>
      </c>
      <c r="R13" t="n">
        <v>148660.372346678</v>
      </c>
      <c r="S13" t="n">
        <v>103887.576221898</v>
      </c>
      <c r="T13" t="n">
        <v>3129926.44439526</v>
      </c>
      <c r="U13" t="n">
        <v>241471.126656945</v>
      </c>
      <c r="V13" t="n">
        <v>0</v>
      </c>
      <c r="W13" t="n">
        <v>5133427.87850352</v>
      </c>
      <c r="X13" t="n">
        <v>0</v>
      </c>
      <c r="Y13" t="n">
        <v>17989264.3408543</v>
      </c>
      <c r="Z13" t="n">
        <v>7280784.20543814</v>
      </c>
      <c r="AA13" t="n">
        <v>390048.02105845</v>
      </c>
      <c r="AB13" t="n">
        <v>48442.1208061792</v>
      </c>
      <c r="AC13" t="n">
        <v>0</v>
      </c>
      <c r="AD13" t="n">
        <v>0</v>
      </c>
      <c r="AE13" t="n">
        <v>0</v>
      </c>
      <c r="AF13" t="n">
        <v>8243.97002191941</v>
      </c>
      <c r="AG13" t="n">
        <v>0</v>
      </c>
      <c r="AH13" t="n">
        <v>358993.935421854</v>
      </c>
      <c r="AI13" t="n">
        <v>0</v>
      </c>
      <c r="AJ13" t="n">
        <v>23067.2651830794</v>
      </c>
      <c r="AK13" t="n">
        <v>461.111939661564</v>
      </c>
      <c r="AL13" t="n">
        <v>0</v>
      </c>
      <c r="AM13" t="n">
        <v>1935.14745364371</v>
      </c>
      <c r="AN13" t="n">
        <v>7748.30910896216</v>
      </c>
      <c r="AO13" t="n">
        <v>6375.71958665308</v>
      </c>
      <c r="AP13" t="n">
        <v>3310.82099632336</v>
      </c>
      <c r="AQ13" t="n">
        <v>365869.418740534</v>
      </c>
      <c r="AR13" t="n">
        <v>152400.782361274</v>
      </c>
      <c r="AS13" t="n">
        <v>0</v>
      </c>
      <c r="AT13" t="n">
        <v>0</v>
      </c>
      <c r="AU13" t="n">
        <v>0</v>
      </c>
      <c r="AV13" t="n">
        <v>0</v>
      </c>
      <c r="AW13" t="n">
        <v>7827.59564918075</v>
      </c>
      <c r="AX13" t="n">
        <v>0</v>
      </c>
      <c r="AY13" t="n">
        <v>0</v>
      </c>
      <c r="AZ13" t="n">
        <v>0</v>
      </c>
      <c r="BA13" t="n">
        <v>0</v>
      </c>
      <c r="BB13" t="n">
        <v>1121292.4930661</v>
      </c>
      <c r="BC13" t="n">
        <v>36803.6863967531</v>
      </c>
      <c r="BD13" t="n">
        <v>1312551.31021788</v>
      </c>
      <c r="BE13" t="n">
        <v>94270.8550802624</v>
      </c>
      <c r="BF13" t="n">
        <v>436322.389433086</v>
      </c>
      <c r="BG13" t="n">
        <v>0</v>
      </c>
      <c r="BH13" t="n">
        <v>26807.0026517077</v>
      </c>
      <c r="BI13" t="n">
        <v>69219.5067393683</v>
      </c>
      <c r="BJ13" t="n">
        <v>280028.795441524</v>
      </c>
      <c r="BK13" t="n">
        <v>73169.8813521808</v>
      </c>
      <c r="BL13" t="n">
        <v>965402.653294906</v>
      </c>
      <c r="BM13" t="n">
        <v>440680.659654651</v>
      </c>
      <c r="BN13" t="n">
        <v>1445972.87179956</v>
      </c>
      <c r="BO13" t="n">
        <v>2305722.40935683</v>
      </c>
      <c r="BP13" t="n">
        <v>0</v>
      </c>
      <c r="BQ13" t="n">
        <v>5852033.58002153</v>
      </c>
      <c r="BR13" t="n">
        <v>0</v>
      </c>
      <c r="BS13" t="n">
        <v>10390492.1075114</v>
      </c>
      <c r="BT13" t="n">
        <v>8165579.73469144</v>
      </c>
      <c r="BU13" t="n">
        <v>606400.310654235</v>
      </c>
      <c r="BV13" t="n">
        <v>0</v>
      </c>
      <c r="BW13" t="n">
        <v>184712.574996297</v>
      </c>
      <c r="BX13" t="n">
        <v>0</v>
      </c>
      <c r="BY13" t="n">
        <v>0</v>
      </c>
      <c r="BZ13" t="n">
        <v>3444101.39886179</v>
      </c>
      <c r="CA13" t="n">
        <v>24085347.736149</v>
      </c>
      <c r="CB13" t="n">
        <v>-39323176.2094775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109</v>
      </c>
      <c r="B14" t="n">
        <v>0</v>
      </c>
      <c r="C14" t="n">
        <v>0</v>
      </c>
      <c r="D14" t="n">
        <v>32071181.8467528</v>
      </c>
      <c r="E14" t="n">
        <v>6103257.37544776</v>
      </c>
      <c r="F14" t="n">
        <v>13270471.6223626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48691.7784605302</v>
      </c>
      <c r="BC14" t="n">
        <v>8010.74721392413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480160274.508223</v>
      </c>
      <c r="BW14" t="n">
        <v>9943811.81916287</v>
      </c>
      <c r="BX14" t="n">
        <v>0</v>
      </c>
      <c r="BY14" t="n">
        <v>0</v>
      </c>
      <c r="BZ14" t="n">
        <v>-24531.5580603491</v>
      </c>
      <c r="CA14" t="n">
        <v>525782.668985499</v>
      </c>
      <c r="CB14" t="n">
        <v>-2915481.8707289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110</v>
      </c>
      <c r="B15" t="n">
        <v>27204456.28974</v>
      </c>
      <c r="C15" t="n">
        <v>163477.876808249</v>
      </c>
      <c r="D15" t="n">
        <v>3349262.00445728</v>
      </c>
      <c r="E15" t="n">
        <v>7046814.53663997</v>
      </c>
      <c r="F15" t="n">
        <v>870376.909802179</v>
      </c>
      <c r="G15" t="n">
        <v>77881225.1799642</v>
      </c>
      <c r="H15" t="n">
        <v>9574102.74215307</v>
      </c>
      <c r="I15" t="n">
        <v>8986138.00940363</v>
      </c>
      <c r="J15" t="n">
        <v>6633248.513431</v>
      </c>
      <c r="K15" t="n">
        <v>14216760.1074647</v>
      </c>
      <c r="L15" t="n">
        <v>6345456.76667074</v>
      </c>
      <c r="M15" t="n">
        <v>5896190.96976647</v>
      </c>
      <c r="N15" t="n">
        <v>185277.748662273</v>
      </c>
      <c r="O15" t="n">
        <v>2434549.60252221</v>
      </c>
      <c r="P15" t="n">
        <v>10038488.1248088</v>
      </c>
      <c r="Q15" t="n">
        <v>6396289.93033391</v>
      </c>
      <c r="R15" t="n">
        <v>5323268.25594344</v>
      </c>
      <c r="S15" t="n">
        <v>483564.504269329</v>
      </c>
      <c r="T15" t="n">
        <v>13607150.5943894</v>
      </c>
      <c r="U15" t="n">
        <v>4298823.22316757</v>
      </c>
      <c r="V15" t="n">
        <v>71719.4058122239</v>
      </c>
      <c r="W15" t="n">
        <v>16270697.2487319</v>
      </c>
      <c r="X15" t="n">
        <v>521645.369468253</v>
      </c>
      <c r="Y15" t="n">
        <v>27389659.9133127</v>
      </c>
      <c r="Z15" t="n">
        <v>10312287.7668955</v>
      </c>
      <c r="AA15" t="n">
        <v>12119358.8294477</v>
      </c>
      <c r="AB15" t="n">
        <v>18866902.3467414</v>
      </c>
      <c r="AC15" t="n">
        <v>9690455.09416929</v>
      </c>
      <c r="AD15" t="n">
        <v>14670354.587981</v>
      </c>
      <c r="AE15" t="n">
        <v>28254550.5172913</v>
      </c>
      <c r="AF15" t="n">
        <v>26696000.0853932</v>
      </c>
      <c r="AG15" t="n">
        <v>154880.41213227</v>
      </c>
      <c r="AH15" t="n">
        <v>159493.242145017</v>
      </c>
      <c r="AI15" t="n">
        <v>769294.788066733</v>
      </c>
      <c r="AJ15" t="n">
        <v>13188301.9981354</v>
      </c>
      <c r="AK15" t="n">
        <v>162458.750589949</v>
      </c>
      <c r="AL15" t="n">
        <v>2354147.98480458</v>
      </c>
      <c r="AM15" t="n">
        <v>2212449.29307895</v>
      </c>
      <c r="AN15" t="n">
        <v>7561422.87749669</v>
      </c>
      <c r="AO15" t="n">
        <v>247098.283115957</v>
      </c>
      <c r="AP15" t="n">
        <v>71584.375835053</v>
      </c>
      <c r="AQ15" t="n">
        <v>6236598.44777781</v>
      </c>
      <c r="AR15" t="n">
        <v>607525.61157673</v>
      </c>
      <c r="AS15" t="n">
        <v>3544979.29358075</v>
      </c>
      <c r="AT15" t="n">
        <v>236463.221095403</v>
      </c>
      <c r="AU15" t="n">
        <v>608091.622552912</v>
      </c>
      <c r="AV15" t="n">
        <v>2802451.28376413</v>
      </c>
      <c r="AW15" t="n">
        <v>242639.596079961</v>
      </c>
      <c r="AX15" t="n">
        <v>25010150.8147096</v>
      </c>
      <c r="AY15" t="n">
        <v>1424348.12608406</v>
      </c>
      <c r="AZ15" t="n">
        <v>620893.368462435</v>
      </c>
      <c r="BA15" t="n">
        <v>342353.063169079</v>
      </c>
      <c r="BB15" t="n">
        <v>3200416.15380974</v>
      </c>
      <c r="BC15" t="n">
        <v>4618170.78292516</v>
      </c>
      <c r="BD15" t="n">
        <v>3939765.5866111</v>
      </c>
      <c r="BE15" t="n">
        <v>2169140.82270284</v>
      </c>
      <c r="BF15" t="n">
        <v>4649122.24665929</v>
      </c>
      <c r="BG15" t="n">
        <v>7104863.01252722</v>
      </c>
      <c r="BH15" t="n">
        <v>9470856.73866431</v>
      </c>
      <c r="BI15" t="n">
        <v>6459013.89127741</v>
      </c>
      <c r="BJ15" t="n">
        <v>2004452.21533661</v>
      </c>
      <c r="BK15" t="n">
        <v>239798.787665758</v>
      </c>
      <c r="BL15" t="n">
        <v>3942532.02245057</v>
      </c>
      <c r="BM15" t="n">
        <v>15123089.4316725</v>
      </c>
      <c r="BN15" t="n">
        <v>31829596.2298776</v>
      </c>
      <c r="BO15" t="n">
        <v>11482255.9727221</v>
      </c>
      <c r="BP15" t="n">
        <v>7158519.30596146</v>
      </c>
      <c r="BQ15" t="n">
        <v>2821332.1312114</v>
      </c>
      <c r="BR15" t="n">
        <v>5361166.6846714</v>
      </c>
      <c r="BS15" t="n">
        <v>49496633.8905133</v>
      </c>
      <c r="BT15" t="n">
        <v>4777638.01832693</v>
      </c>
      <c r="BU15" t="n">
        <v>439364617.853629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39184402.3265951</v>
      </c>
      <c r="CB15" t="n">
        <v>-13253485.6865709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111</v>
      </c>
      <c r="B16" t="n">
        <v>17836483.7298472</v>
      </c>
      <c r="C16" t="n">
        <v>246396.537476505</v>
      </c>
      <c r="D16" t="n">
        <v>281867.426863471</v>
      </c>
      <c r="E16" t="n">
        <v>22887204.1508216</v>
      </c>
      <c r="F16" t="n">
        <v>12151589.9435557</v>
      </c>
      <c r="G16" t="n">
        <v>59156907.5003443</v>
      </c>
      <c r="H16" t="n">
        <v>1169388.60958341</v>
      </c>
      <c r="I16" t="n">
        <v>6478953.94256822</v>
      </c>
      <c r="J16" t="n">
        <v>5891218.7462577</v>
      </c>
      <c r="K16" t="n">
        <v>11757127.6084324</v>
      </c>
      <c r="L16" t="n">
        <v>7270734.7949618</v>
      </c>
      <c r="M16" t="n">
        <v>8478275.4554955</v>
      </c>
      <c r="N16" t="n">
        <v>254611.444562909</v>
      </c>
      <c r="O16" t="n">
        <v>2069767.94513323</v>
      </c>
      <c r="P16" t="n">
        <v>10372546.1345929</v>
      </c>
      <c r="Q16" t="n">
        <v>3758999.36658858</v>
      </c>
      <c r="R16" t="n">
        <v>4608856.62899376</v>
      </c>
      <c r="S16" t="n">
        <v>669698.693985304</v>
      </c>
      <c r="T16" t="n">
        <v>12090994.0723305</v>
      </c>
      <c r="U16" t="n">
        <v>2163496.79355797</v>
      </c>
      <c r="V16" t="n">
        <v>61503.2748363607</v>
      </c>
      <c r="W16" t="n">
        <v>12271664.3277065</v>
      </c>
      <c r="X16" t="n">
        <v>538196.184256873</v>
      </c>
      <c r="Y16" t="n">
        <v>149879813.044477</v>
      </c>
      <c r="Z16" t="n">
        <v>6199225.39797201</v>
      </c>
      <c r="AA16" t="n">
        <v>7857228.09869964</v>
      </c>
      <c r="AB16" t="n">
        <v>18725090.9166622</v>
      </c>
      <c r="AC16" t="n">
        <v>11706653.6580344</v>
      </c>
      <c r="AD16" t="n">
        <v>6116921.38578158</v>
      </c>
      <c r="AE16" t="n">
        <v>27778898.6182541</v>
      </c>
      <c r="AF16" t="n">
        <v>23337007.8221985</v>
      </c>
      <c r="AG16" t="n">
        <v>140467.869625611</v>
      </c>
      <c r="AH16" t="n">
        <v>21815467.8907028</v>
      </c>
      <c r="AI16" t="n">
        <v>818609.446484954</v>
      </c>
      <c r="AJ16" t="n">
        <v>6117579.656569</v>
      </c>
      <c r="AK16" t="n">
        <v>784673.144876325</v>
      </c>
      <c r="AL16" t="n">
        <v>5879511.16708217</v>
      </c>
      <c r="AM16" t="n">
        <v>7290897.34954483</v>
      </c>
      <c r="AN16" t="n">
        <v>10467261.8236336</v>
      </c>
      <c r="AO16" t="n">
        <v>157872.674075362</v>
      </c>
      <c r="AP16" t="n">
        <v>45096.8434129434</v>
      </c>
      <c r="AQ16" t="n">
        <v>9437249.9097831</v>
      </c>
      <c r="AR16" t="n">
        <v>614664.575737126</v>
      </c>
      <c r="AS16" t="n">
        <v>25052236.9606899</v>
      </c>
      <c r="AT16" t="n">
        <v>1259877.07414973</v>
      </c>
      <c r="AU16" t="n">
        <v>3026987.7747281</v>
      </c>
      <c r="AV16" t="n">
        <v>519316.239316239</v>
      </c>
      <c r="AW16" t="n">
        <v>410086950.039555</v>
      </c>
      <c r="AX16" t="n">
        <v>117016538.34888</v>
      </c>
      <c r="AY16" t="n">
        <v>3707401.88567818</v>
      </c>
      <c r="AZ16" t="n">
        <v>707371.588296725</v>
      </c>
      <c r="BA16" t="n">
        <v>125399.977805847</v>
      </c>
      <c r="BB16" t="n">
        <v>5041486.79057435</v>
      </c>
      <c r="BC16" t="n">
        <v>2841356.3718311</v>
      </c>
      <c r="BD16" t="n">
        <v>4472239.34560327</v>
      </c>
      <c r="BE16" t="n">
        <v>844569.476092992</v>
      </c>
      <c r="BF16" t="n">
        <v>6543959.3901117</v>
      </c>
      <c r="BG16" t="n">
        <v>4922607.85322338</v>
      </c>
      <c r="BH16" t="n">
        <v>5699953.90230336</v>
      </c>
      <c r="BI16" t="n">
        <v>4468412.69040654</v>
      </c>
      <c r="BJ16" t="n">
        <v>3638147.36154223</v>
      </c>
      <c r="BK16" t="n">
        <v>210883.288614964</v>
      </c>
      <c r="BL16" t="n">
        <v>2739898.76509984</v>
      </c>
      <c r="BM16" t="n">
        <v>28558867.6030606</v>
      </c>
      <c r="BN16" t="n">
        <v>14991965.2292414</v>
      </c>
      <c r="BO16" t="n">
        <v>23056289.8648988</v>
      </c>
      <c r="BP16" t="n">
        <v>69477445.4125472</v>
      </c>
      <c r="BQ16" t="n">
        <v>4190459.29328377</v>
      </c>
      <c r="BR16" t="n">
        <v>5056423.73642243</v>
      </c>
      <c r="BS16" t="n">
        <v>295482666.421915</v>
      </c>
      <c r="BT16" t="n">
        <v>293076989.247468</v>
      </c>
      <c r="BU16" t="n">
        <v>0</v>
      </c>
      <c r="BV16" t="n">
        <v>2267150196.46303</v>
      </c>
      <c r="BW16" t="n">
        <v>0</v>
      </c>
      <c r="BX16" t="n">
        <v>0</v>
      </c>
      <c r="BY16" t="n">
        <v>4012845570.61691</v>
      </c>
      <c r="BZ16" t="n">
        <v>0</v>
      </c>
      <c r="CA16" t="n">
        <v>447505.751611655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168027175.708044</v>
      </c>
      <c r="CI16" t="n">
        <v>0</v>
      </c>
      <c r="CJ16" t="n">
        <v>0</v>
      </c>
      <c r="CK16" t="n">
        <v>0</v>
      </c>
      <c r="CL16" t="n">
        <v>1937613595.55751</v>
      </c>
      <c r="CM16" t="n">
        <v>0</v>
      </c>
      <c r="CN16" t="n">
        <v>0</v>
      </c>
    </row>
    <row r="17">
      <c r="A17" t="s">
        <v>112</v>
      </c>
      <c r="B17" t="n">
        <v>3771941.90601075</v>
      </c>
      <c r="C17" t="n">
        <v>406624.712263395</v>
      </c>
      <c r="D17" t="n">
        <v>0</v>
      </c>
      <c r="E17" t="n">
        <v>588140.663137902</v>
      </c>
      <c r="F17" t="n">
        <v>790143.969058448</v>
      </c>
      <c r="G17" t="n">
        <v>28116.4119841654</v>
      </c>
      <c r="H17" t="n">
        <v>106902612.942751</v>
      </c>
      <c r="I17" t="n">
        <v>309455610.804866</v>
      </c>
      <c r="J17" t="n">
        <v>697254.766524047</v>
      </c>
      <c r="K17" t="n">
        <v>2747893.8475733</v>
      </c>
      <c r="L17" t="n">
        <v>609776.275801497</v>
      </c>
      <c r="M17" t="n">
        <v>4547001.899334</v>
      </c>
      <c r="N17" t="n">
        <v>75167.2925565882</v>
      </c>
      <c r="O17" t="n">
        <v>4383163.75715915</v>
      </c>
      <c r="P17" t="n">
        <v>22548282.6340903</v>
      </c>
      <c r="Q17" t="n">
        <v>1039180.51701277</v>
      </c>
      <c r="R17" t="n">
        <v>132037091.997895</v>
      </c>
      <c r="S17" t="n">
        <v>1420888.96532129</v>
      </c>
      <c r="T17" t="n">
        <v>1305541.22477586</v>
      </c>
      <c r="U17" t="n">
        <v>755422.302409154</v>
      </c>
      <c r="V17" t="n">
        <v>0</v>
      </c>
      <c r="W17" t="n">
        <v>27579109.7353493</v>
      </c>
      <c r="X17" t="n">
        <v>1676.62362696845</v>
      </c>
      <c r="Y17" t="n">
        <v>0</v>
      </c>
      <c r="Z17" t="n">
        <v>449384.83859196</v>
      </c>
      <c r="AA17" t="n">
        <v>11227350.7525885</v>
      </c>
      <c r="AB17" t="n">
        <v>17496513.4718932</v>
      </c>
      <c r="AC17" t="n">
        <v>684347.798000357</v>
      </c>
      <c r="AD17" t="n">
        <v>2026636.33249841</v>
      </c>
      <c r="AE17" t="n">
        <v>1200300.40460264</v>
      </c>
      <c r="AF17" t="n">
        <v>3412165.46219717</v>
      </c>
      <c r="AG17" t="n">
        <v>0</v>
      </c>
      <c r="AH17" t="n">
        <v>12152233.0226333</v>
      </c>
      <c r="AI17" t="n">
        <v>0</v>
      </c>
      <c r="AJ17" t="n">
        <v>1122705.19920805</v>
      </c>
      <c r="AK17" t="n">
        <v>0</v>
      </c>
      <c r="AL17" t="n">
        <v>37870.2036073932</v>
      </c>
      <c r="AM17" t="n">
        <v>183168.744923978</v>
      </c>
      <c r="AN17" t="n">
        <v>917303.39421633</v>
      </c>
      <c r="AO17" t="n">
        <v>27995.8758671697</v>
      </c>
      <c r="AP17" t="n">
        <v>29347.9564459113</v>
      </c>
      <c r="AQ17" t="n">
        <v>1784190.76041482</v>
      </c>
      <c r="AR17" t="n">
        <v>429857.222189376</v>
      </c>
      <c r="AS17" t="n">
        <v>684114.603113003</v>
      </c>
      <c r="AT17" t="n">
        <v>2988.12187729934</v>
      </c>
      <c r="AU17" t="n">
        <v>0</v>
      </c>
      <c r="AV17" t="n">
        <v>0</v>
      </c>
      <c r="AW17" t="n">
        <v>66318.3617173698</v>
      </c>
      <c r="AX17" t="n">
        <v>11923213.6993738</v>
      </c>
      <c r="AY17" t="n">
        <v>1031524.57528809</v>
      </c>
      <c r="AZ17" t="n">
        <v>32469.6526219194</v>
      </c>
      <c r="BA17" t="n">
        <v>37468.7185058813</v>
      </c>
      <c r="BB17" t="n">
        <v>1040600.75171148</v>
      </c>
      <c r="BC17" t="n">
        <v>9161.87990279914</v>
      </c>
      <c r="BD17" t="n">
        <v>2789233.47762622</v>
      </c>
      <c r="BE17" t="n">
        <v>113484.753653755</v>
      </c>
      <c r="BF17" t="n">
        <v>74578.9218359763</v>
      </c>
      <c r="BG17" t="n">
        <v>1558911.97763825</v>
      </c>
      <c r="BH17" t="n">
        <v>1384928.38028535</v>
      </c>
      <c r="BI17" t="n">
        <v>21344.2141798595</v>
      </c>
      <c r="BJ17" t="n">
        <v>2222917.53893276</v>
      </c>
      <c r="BK17" t="n">
        <v>3642.24373895089</v>
      </c>
      <c r="BL17" t="n">
        <v>440536.067242896</v>
      </c>
      <c r="BM17" t="n">
        <v>5785772.96609955</v>
      </c>
      <c r="BN17" t="n">
        <v>3266853.88852536</v>
      </c>
      <c r="BO17" t="n">
        <v>1392094.03772702</v>
      </c>
      <c r="BP17" t="n">
        <v>116697.689998051</v>
      </c>
      <c r="BQ17" t="n">
        <v>194392.304223989</v>
      </c>
      <c r="BR17" t="n">
        <v>14956.9765298889</v>
      </c>
      <c r="BS17" t="n">
        <v>12983337.8172995</v>
      </c>
      <c r="BT17" t="n">
        <v>967532.077109536</v>
      </c>
      <c r="BU17" t="n">
        <v>22091862.1859404</v>
      </c>
      <c r="BV17" t="n">
        <v>2879360.56237802</v>
      </c>
      <c r="BW17" t="n">
        <v>0</v>
      </c>
      <c r="BX17" t="n">
        <v>0</v>
      </c>
      <c r="BY17" t="n">
        <v>30374852.6047923</v>
      </c>
      <c r="BZ17" t="n">
        <v>9165288.55066808</v>
      </c>
      <c r="CA17" t="n">
        <v>69188616.7132561</v>
      </c>
      <c r="CB17" t="n">
        <v>-222064814.508175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96823.7383863591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113</v>
      </c>
      <c r="B18" t="n">
        <v>93909.3987280009</v>
      </c>
      <c r="C18" t="n">
        <v>306866.954777651</v>
      </c>
      <c r="D18" t="n">
        <v>1063275.76002974</v>
      </c>
      <c r="E18" t="n">
        <v>1335551.67587956</v>
      </c>
      <c r="F18" t="n">
        <v>2303581.21722474</v>
      </c>
      <c r="G18" t="n">
        <v>257260.789195236</v>
      </c>
      <c r="H18" t="n">
        <v>139618818.654616</v>
      </c>
      <c r="I18" t="n">
        <v>10131594.1328916</v>
      </c>
      <c r="J18" t="n">
        <v>49391585.8385831</v>
      </c>
      <c r="K18" t="n">
        <v>12292813.9842596</v>
      </c>
      <c r="L18" t="n">
        <v>4910704.90697256</v>
      </c>
      <c r="M18" t="n">
        <v>9283868.72570377</v>
      </c>
      <c r="N18" t="n">
        <v>82033.1925336738</v>
      </c>
      <c r="O18" t="n">
        <v>11349230.6177979</v>
      </c>
      <c r="P18" t="n">
        <v>44646665.782537</v>
      </c>
      <c r="Q18" t="n">
        <v>1523338.59677271</v>
      </c>
      <c r="R18" t="n">
        <v>6973051.82401798</v>
      </c>
      <c r="S18" t="n">
        <v>899317.476869968</v>
      </c>
      <c r="T18" t="n">
        <v>12564890.7192837</v>
      </c>
      <c r="U18" t="n">
        <v>315380.07922453</v>
      </c>
      <c r="V18" t="n">
        <v>0</v>
      </c>
      <c r="W18" t="n">
        <v>2333064.05983561</v>
      </c>
      <c r="X18" t="n">
        <v>710.842244830397</v>
      </c>
      <c r="Y18" t="n">
        <v>15030728.1080719</v>
      </c>
      <c r="Z18" t="n">
        <v>2237958.95785491</v>
      </c>
      <c r="AA18" t="n">
        <v>9903147.53513221</v>
      </c>
      <c r="AB18" t="n">
        <v>236082.77141995</v>
      </c>
      <c r="AC18" t="n">
        <v>1081319.7974179</v>
      </c>
      <c r="AD18" t="n">
        <v>193680.08728954</v>
      </c>
      <c r="AE18" t="n">
        <v>1789801.99236939</v>
      </c>
      <c r="AF18" t="n">
        <v>1961452.2078942</v>
      </c>
      <c r="AG18" t="n">
        <v>0</v>
      </c>
      <c r="AH18" t="n">
        <v>67104.8258091298</v>
      </c>
      <c r="AI18" t="n">
        <v>0</v>
      </c>
      <c r="AJ18" t="n">
        <v>807726.677026073</v>
      </c>
      <c r="AK18" t="n">
        <v>0</v>
      </c>
      <c r="AL18" t="n">
        <v>0</v>
      </c>
      <c r="AM18" t="n">
        <v>41825.7440176008</v>
      </c>
      <c r="AN18" t="n">
        <v>649725.946899929</v>
      </c>
      <c r="AO18" t="n">
        <v>949.41370366649</v>
      </c>
      <c r="AP18" t="n">
        <v>261.91533798053</v>
      </c>
      <c r="AQ18" t="n">
        <v>6266059.43938969</v>
      </c>
      <c r="AR18" t="n">
        <v>251219.745657469</v>
      </c>
      <c r="AS18" t="n">
        <v>85854.6518421219</v>
      </c>
      <c r="AT18" t="n">
        <v>14506.5701452406</v>
      </c>
      <c r="AU18" t="n">
        <v>83835.1577076491</v>
      </c>
      <c r="AV18" t="n">
        <v>0</v>
      </c>
      <c r="AW18" t="n">
        <v>233719.686801111</v>
      </c>
      <c r="AX18" t="n">
        <v>82807.0765014658</v>
      </c>
      <c r="AY18" t="n">
        <v>1326401.23172676</v>
      </c>
      <c r="AZ18" t="n">
        <v>0</v>
      </c>
      <c r="BA18" t="n">
        <v>126544.082911882</v>
      </c>
      <c r="BB18" t="n">
        <v>5160901.42726758</v>
      </c>
      <c r="BC18" t="n">
        <v>95878.4874845678</v>
      </c>
      <c r="BD18" t="n">
        <v>2232955.09266043</v>
      </c>
      <c r="BE18" t="n">
        <v>1049584.62937027</v>
      </c>
      <c r="BF18" t="n">
        <v>157311.921792684</v>
      </c>
      <c r="BG18" t="n">
        <v>7588226.75487295</v>
      </c>
      <c r="BH18" t="n">
        <v>7978022.31857746</v>
      </c>
      <c r="BI18" t="n">
        <v>532778.876215558</v>
      </c>
      <c r="BJ18" t="n">
        <v>1331802.06409993</v>
      </c>
      <c r="BK18" t="n">
        <v>5284.552792057</v>
      </c>
      <c r="BL18" t="n">
        <v>331314.676248669</v>
      </c>
      <c r="BM18" t="n">
        <v>494755.95910044</v>
      </c>
      <c r="BN18" t="n">
        <v>8539803.43286124</v>
      </c>
      <c r="BO18" t="n">
        <v>4494674.41771485</v>
      </c>
      <c r="BP18" t="n">
        <v>284039.416797207</v>
      </c>
      <c r="BQ18" t="n">
        <v>2710773.36354098</v>
      </c>
      <c r="BR18" t="n">
        <v>0</v>
      </c>
      <c r="BS18" t="n">
        <v>9034705.98439858</v>
      </c>
      <c r="BT18" t="n">
        <v>7475105.6931535</v>
      </c>
      <c r="BU18" t="n">
        <v>52722023.4401331</v>
      </c>
      <c r="BV18" t="n">
        <v>0</v>
      </c>
      <c r="BW18" t="n">
        <v>0</v>
      </c>
      <c r="BX18" t="n">
        <v>0</v>
      </c>
      <c r="BY18" t="n">
        <v>0</v>
      </c>
      <c r="BZ18" t="n">
        <v>7500893.6065752</v>
      </c>
      <c r="CA18" t="n">
        <v>29881505.2484304</v>
      </c>
      <c r="CB18" t="n">
        <v>-176024414.008318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114</v>
      </c>
      <c r="B19" t="n">
        <v>743554.533563261</v>
      </c>
      <c r="C19" t="n">
        <v>0</v>
      </c>
      <c r="D19" t="n">
        <v>3656981.85610004</v>
      </c>
      <c r="E19" t="n">
        <v>1380414.45431433</v>
      </c>
      <c r="F19" t="n">
        <v>1399502.10353276</v>
      </c>
      <c r="G19" t="n">
        <v>11427.5005748265</v>
      </c>
      <c r="H19" t="n">
        <v>10410681.5574158</v>
      </c>
      <c r="I19" t="n">
        <v>2711922.16493457</v>
      </c>
      <c r="J19" t="n">
        <v>4365119.01973501</v>
      </c>
      <c r="K19" t="n">
        <v>425455579.083519</v>
      </c>
      <c r="L19" t="n">
        <v>161179297.735906</v>
      </c>
      <c r="M19" t="n">
        <v>143575161.211113</v>
      </c>
      <c r="N19" t="n">
        <v>1254875.99872528</v>
      </c>
      <c r="O19" t="n">
        <v>81919804.4456988</v>
      </c>
      <c r="P19" t="n">
        <v>229145451.980558</v>
      </c>
      <c r="Q19" t="n">
        <v>27968691.7406637</v>
      </c>
      <c r="R19" t="n">
        <v>50284783.9454695</v>
      </c>
      <c r="S19" t="n">
        <v>5635448.4862993</v>
      </c>
      <c r="T19" t="n">
        <v>6025854.27057307</v>
      </c>
      <c r="U19" t="n">
        <v>535519.953732118</v>
      </c>
      <c r="V19" t="n">
        <v>0</v>
      </c>
      <c r="W19" t="n">
        <v>5162951.91696528</v>
      </c>
      <c r="X19" t="n">
        <v>10455.0578094923</v>
      </c>
      <c r="Y19" t="n">
        <v>141881.13937743</v>
      </c>
      <c r="Z19" t="n">
        <v>92779.907191757</v>
      </c>
      <c r="AA19" t="n">
        <v>6808133.31928944</v>
      </c>
      <c r="AB19" t="n">
        <v>1218842.57294064</v>
      </c>
      <c r="AC19" t="n">
        <v>26584.1692714728</v>
      </c>
      <c r="AD19" t="n">
        <v>0</v>
      </c>
      <c r="AE19" t="n">
        <v>0</v>
      </c>
      <c r="AF19" t="n">
        <v>2175910.52666493</v>
      </c>
      <c r="AG19" t="n">
        <v>0</v>
      </c>
      <c r="AH19" t="n">
        <v>2113228.30620712</v>
      </c>
      <c r="AI19" t="n">
        <v>0</v>
      </c>
      <c r="AJ19" t="n">
        <v>0</v>
      </c>
      <c r="AK19" t="n">
        <v>0</v>
      </c>
      <c r="AL19" t="n">
        <v>0</v>
      </c>
      <c r="AM19" t="n">
        <v>330208.758268275</v>
      </c>
      <c r="AN19" t="n">
        <v>0</v>
      </c>
      <c r="AO19" t="n">
        <v>7475.81502061935</v>
      </c>
      <c r="AP19" t="n">
        <v>3161.65352310057</v>
      </c>
      <c r="AQ19" t="n">
        <v>721130.555304393</v>
      </c>
      <c r="AR19" t="n">
        <v>213785.724756498</v>
      </c>
      <c r="AS19" t="n">
        <v>0</v>
      </c>
      <c r="AT19" t="n">
        <v>0</v>
      </c>
      <c r="AU19" t="n">
        <v>0</v>
      </c>
      <c r="AV19" t="n">
        <v>0</v>
      </c>
      <c r="AW19" t="n">
        <v>1632.73325361921</v>
      </c>
      <c r="AX19" t="n">
        <v>3474446.43501187</v>
      </c>
      <c r="AY19" t="n">
        <v>186891.61341884</v>
      </c>
      <c r="AZ19" t="n">
        <v>0</v>
      </c>
      <c r="BA19" t="n">
        <v>0</v>
      </c>
      <c r="BB19" t="n">
        <v>1836704.92419975</v>
      </c>
      <c r="BC19" t="n">
        <v>87493.4182549788</v>
      </c>
      <c r="BD19" t="n">
        <v>1414902.30022492</v>
      </c>
      <c r="BE19" t="n">
        <v>868299.619354118</v>
      </c>
      <c r="BF19" t="n">
        <v>307980.956189596</v>
      </c>
      <c r="BG19" t="n">
        <v>613502.770179799</v>
      </c>
      <c r="BH19" t="n">
        <v>52770.9255452762</v>
      </c>
      <c r="BI19" t="n">
        <v>50121.2758602345</v>
      </c>
      <c r="BJ19" t="n">
        <v>863482.639511646</v>
      </c>
      <c r="BK19" t="n">
        <v>10699.2730494564</v>
      </c>
      <c r="BL19" t="n">
        <v>703176.899172139</v>
      </c>
      <c r="BM19" t="n">
        <v>174595.089542658</v>
      </c>
      <c r="BN19" t="n">
        <v>315531.3553027</v>
      </c>
      <c r="BO19" t="n">
        <v>2708663.08118682</v>
      </c>
      <c r="BP19" t="n">
        <v>1565499.55870576</v>
      </c>
      <c r="BQ19" t="n">
        <v>1985070.12018387</v>
      </c>
      <c r="BR19" t="n">
        <v>0</v>
      </c>
      <c r="BS19" t="n">
        <v>346500.546755903</v>
      </c>
      <c r="BT19" t="n">
        <v>1842102.59033721</v>
      </c>
      <c r="BU19" t="n">
        <v>2161789.76565451</v>
      </c>
      <c r="BV19" t="n">
        <v>0</v>
      </c>
      <c r="BW19" t="n">
        <v>0</v>
      </c>
      <c r="BX19" t="n">
        <v>0</v>
      </c>
      <c r="BY19" t="n">
        <v>0</v>
      </c>
      <c r="BZ19" t="n">
        <v>18957027.3907664</v>
      </c>
      <c r="CA19" t="n">
        <v>171786333.574195</v>
      </c>
      <c r="CB19" t="n">
        <v>-705583255.621872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115</v>
      </c>
      <c r="B20" t="n">
        <v>12751777.882423</v>
      </c>
      <c r="C20" t="n">
        <v>801911.027257403</v>
      </c>
      <c r="D20" t="n">
        <v>8571076.64917094</v>
      </c>
      <c r="E20" t="n">
        <v>3345667.69654434</v>
      </c>
      <c r="F20" t="n">
        <v>2511502.20723351</v>
      </c>
      <c r="G20" t="n">
        <v>4821698.7208635</v>
      </c>
      <c r="H20" t="n">
        <v>174881803.383839</v>
      </c>
      <c r="I20" t="n">
        <v>30315102.660649</v>
      </c>
      <c r="J20" t="n">
        <v>5586989.87893533</v>
      </c>
      <c r="K20" t="n">
        <v>21036205.9607968</v>
      </c>
      <c r="L20" t="n">
        <v>93663454.1928712</v>
      </c>
      <c r="M20" t="n">
        <v>110843218.93778</v>
      </c>
      <c r="N20" t="n">
        <v>1539829.54197469</v>
      </c>
      <c r="O20" t="n">
        <v>49863580.5123605</v>
      </c>
      <c r="P20" t="n">
        <v>156238489.758436</v>
      </c>
      <c r="Q20" t="n">
        <v>48447382.8235353</v>
      </c>
      <c r="R20" t="n">
        <v>69623828.7147235</v>
      </c>
      <c r="S20" t="n">
        <v>4127060.08533001</v>
      </c>
      <c r="T20" t="n">
        <v>45705648.7446965</v>
      </c>
      <c r="U20" t="n">
        <v>4079279.35914116</v>
      </c>
      <c r="V20" t="n">
        <v>165863.657805446</v>
      </c>
      <c r="W20" t="n">
        <v>30946279.1490641</v>
      </c>
      <c r="X20" t="n">
        <v>544703.083926175</v>
      </c>
      <c r="Y20" t="n">
        <v>13830013.1793264</v>
      </c>
      <c r="Z20" t="n">
        <v>13417844.9546941</v>
      </c>
      <c r="AA20" t="n">
        <v>34575190.4710171</v>
      </c>
      <c r="AB20" t="n">
        <v>5793943.58385947</v>
      </c>
      <c r="AC20" t="n">
        <v>1449286.02171429</v>
      </c>
      <c r="AD20" t="n">
        <v>664587.770288155</v>
      </c>
      <c r="AE20" t="n">
        <v>987948.946213487</v>
      </c>
      <c r="AF20" t="n">
        <v>6802370.569674</v>
      </c>
      <c r="AG20" t="n">
        <v>63913.323738038</v>
      </c>
      <c r="AH20" t="n">
        <v>1923165.90110866</v>
      </c>
      <c r="AI20" t="n">
        <v>9187888.66490842</v>
      </c>
      <c r="AJ20" t="n">
        <v>9825605.75871908</v>
      </c>
      <c r="AK20" t="n">
        <v>292968.776738492</v>
      </c>
      <c r="AL20" t="n">
        <v>4335880.93720327</v>
      </c>
      <c r="AM20" t="n">
        <v>1191535.34339699</v>
      </c>
      <c r="AN20" t="n">
        <v>5035209.98185764</v>
      </c>
      <c r="AO20" t="n">
        <v>331990.139625813</v>
      </c>
      <c r="AP20" t="n">
        <v>12234.6236764361</v>
      </c>
      <c r="AQ20" t="n">
        <v>23625334.9590832</v>
      </c>
      <c r="AR20" t="n">
        <v>597899.37368113</v>
      </c>
      <c r="AS20" t="n">
        <v>899565.036348298</v>
      </c>
      <c r="AT20" t="n">
        <v>70429.6642745682</v>
      </c>
      <c r="AU20" t="n">
        <v>0</v>
      </c>
      <c r="AV20" t="n">
        <v>155669.289278801</v>
      </c>
      <c r="AW20" t="n">
        <v>49057.6208307789</v>
      </c>
      <c r="AX20" t="n">
        <v>3088652.2167131</v>
      </c>
      <c r="AY20" t="n">
        <v>3234722.75165757</v>
      </c>
      <c r="AZ20" t="n">
        <v>69896.3627929444</v>
      </c>
      <c r="BA20" t="n">
        <v>1954957.42658555</v>
      </c>
      <c r="BB20" t="n">
        <v>6001332.60907275</v>
      </c>
      <c r="BC20" t="n">
        <v>996731.598145208</v>
      </c>
      <c r="BD20" t="n">
        <v>6214800.61358142</v>
      </c>
      <c r="BE20" t="n">
        <v>10079492.3129736</v>
      </c>
      <c r="BF20" t="n">
        <v>734309.309847178</v>
      </c>
      <c r="BG20" t="n">
        <v>1122727.99869187</v>
      </c>
      <c r="BH20" t="n">
        <v>3520100.63473304</v>
      </c>
      <c r="BI20" t="n">
        <v>88558.804222992</v>
      </c>
      <c r="BJ20" t="n">
        <v>7948438.2467824</v>
      </c>
      <c r="BK20" t="n">
        <v>17929.7780259994</v>
      </c>
      <c r="BL20" t="n">
        <v>1305272.23594806</v>
      </c>
      <c r="BM20" t="n">
        <v>7929482.16775358</v>
      </c>
      <c r="BN20" t="n">
        <v>10613457.4772829</v>
      </c>
      <c r="BO20" t="n">
        <v>13962711.3900806</v>
      </c>
      <c r="BP20" t="n">
        <v>30746386.1874132</v>
      </c>
      <c r="BQ20" t="n">
        <v>5237935.60925226</v>
      </c>
      <c r="BR20" t="n">
        <v>921325.663684294</v>
      </c>
      <c r="BS20" t="n">
        <v>16557920.7769041</v>
      </c>
      <c r="BT20" t="n">
        <v>13527171.1155513</v>
      </c>
      <c r="BU20" t="n">
        <v>74899589.6474033</v>
      </c>
      <c r="BV20" t="n">
        <v>0</v>
      </c>
      <c r="BW20" t="n">
        <v>45159380.1230797</v>
      </c>
      <c r="BX20" t="n">
        <v>0</v>
      </c>
      <c r="BY20" t="n">
        <v>0</v>
      </c>
      <c r="BZ20" t="n">
        <v>21153606.687203</v>
      </c>
      <c r="CA20" t="n">
        <v>257145756.213627</v>
      </c>
      <c r="CB20" t="n">
        <v>-467751937.795667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4607161.00233155</v>
      </c>
      <c r="CJ20" t="n">
        <v>0</v>
      </c>
      <c r="CK20" t="n">
        <v>0</v>
      </c>
      <c r="CL20" t="n">
        <v>0</v>
      </c>
      <c r="CM20" t="n">
        <v>944944.431622676</v>
      </c>
      <c r="CN20" t="n">
        <v>0</v>
      </c>
    </row>
    <row r="21">
      <c r="A21" t="s">
        <v>116</v>
      </c>
      <c r="B21" t="n">
        <v>20401441.0724185</v>
      </c>
      <c r="C21" t="n">
        <v>260002.779656992</v>
      </c>
      <c r="D21" t="n">
        <v>7950038.38595</v>
      </c>
      <c r="E21" t="n">
        <v>14142756.3229059</v>
      </c>
      <c r="F21" t="n">
        <v>13996348.3162027</v>
      </c>
      <c r="G21" t="n">
        <v>10638130.2759241</v>
      </c>
      <c r="H21" t="n">
        <v>65881645.6023378</v>
      </c>
      <c r="I21" t="n">
        <v>4812565.85563087</v>
      </c>
      <c r="J21" t="n">
        <v>413645.624022762</v>
      </c>
      <c r="K21" t="n">
        <v>4292206.93255391</v>
      </c>
      <c r="L21" t="n">
        <v>13331944.4357403</v>
      </c>
      <c r="M21" t="n">
        <v>178258781.762005</v>
      </c>
      <c r="N21" t="n">
        <v>128447.464982028</v>
      </c>
      <c r="O21" t="n">
        <v>14566718.7300156</v>
      </c>
      <c r="P21" t="n">
        <v>233023604.62878</v>
      </c>
      <c r="Q21" t="n">
        <v>14631515.6518985</v>
      </c>
      <c r="R21" t="n">
        <v>1916141.01179894</v>
      </c>
      <c r="S21" t="n">
        <v>941811.069963574</v>
      </c>
      <c r="T21" t="n">
        <v>15074369.1779227</v>
      </c>
      <c r="U21" t="n">
        <v>273064.162541496</v>
      </c>
      <c r="V21" t="n">
        <v>2413.40725710381</v>
      </c>
      <c r="W21" t="n">
        <v>9214690.48630825</v>
      </c>
      <c r="X21" t="n">
        <v>1225190.26218765</v>
      </c>
      <c r="Y21" t="n">
        <v>748411.100708586</v>
      </c>
      <c r="Z21" t="n">
        <v>6891603.58568677</v>
      </c>
      <c r="AA21" t="n">
        <v>9150466.81053405</v>
      </c>
      <c r="AB21" t="n">
        <v>6670075.10070279</v>
      </c>
      <c r="AC21" t="n">
        <v>853322.392468209</v>
      </c>
      <c r="AD21" t="n">
        <v>341597.734775546</v>
      </c>
      <c r="AE21" t="n">
        <v>686240.154599589</v>
      </c>
      <c r="AF21" t="n">
        <v>2471988.74639636</v>
      </c>
      <c r="AG21" t="n">
        <v>1144.52909236482</v>
      </c>
      <c r="AH21" t="n">
        <v>190293.126558744</v>
      </c>
      <c r="AI21" t="n">
        <v>619267.328578151</v>
      </c>
      <c r="AJ21" t="n">
        <v>2652434.468223</v>
      </c>
      <c r="AK21" t="n">
        <v>39845.2596004227</v>
      </c>
      <c r="AL21" t="n">
        <v>276969.032722972</v>
      </c>
      <c r="AM21" t="n">
        <v>25495748.0705855</v>
      </c>
      <c r="AN21" t="n">
        <v>8708563.43670171</v>
      </c>
      <c r="AO21" t="n">
        <v>34848.431894696</v>
      </c>
      <c r="AP21" t="n">
        <v>6762.54318850861</v>
      </c>
      <c r="AQ21" t="n">
        <v>2267559.90813167</v>
      </c>
      <c r="AR21" t="n">
        <v>149669.147909878</v>
      </c>
      <c r="AS21" t="n">
        <v>10922.0692242047</v>
      </c>
      <c r="AT21" t="n">
        <v>10885.1727437454</v>
      </c>
      <c r="AU21" t="n">
        <v>1725794.19436977</v>
      </c>
      <c r="AV21" t="n">
        <v>0</v>
      </c>
      <c r="AW21" t="n">
        <v>62237.5622029609</v>
      </c>
      <c r="AX21" t="n">
        <v>91962.6031419363</v>
      </c>
      <c r="AY21" t="n">
        <v>1209637.44196212</v>
      </c>
      <c r="AZ21" t="n">
        <v>24336.6174006172</v>
      </c>
      <c r="BA21" t="n">
        <v>2328330.54691088</v>
      </c>
      <c r="BB21" t="n">
        <v>3407399.6885128</v>
      </c>
      <c r="BC21" t="n">
        <v>678194.473649892</v>
      </c>
      <c r="BD21" t="n">
        <v>12478876.8930676</v>
      </c>
      <c r="BE21" t="n">
        <v>18934270.3407402</v>
      </c>
      <c r="BF21" t="n">
        <v>3162947.91902817</v>
      </c>
      <c r="BG21" t="n">
        <v>3735164.26500003</v>
      </c>
      <c r="BH21" t="n">
        <v>1620732.76438924</v>
      </c>
      <c r="BI21" t="n">
        <v>374811.850668886</v>
      </c>
      <c r="BJ21" t="n">
        <v>423953.959132496</v>
      </c>
      <c r="BK21" t="n">
        <v>10165.1767567276</v>
      </c>
      <c r="BL21" t="n">
        <v>390522.714405415</v>
      </c>
      <c r="BM21" t="n">
        <v>328190.240887635</v>
      </c>
      <c r="BN21" t="n">
        <v>1749246.20415061</v>
      </c>
      <c r="BO21" t="n">
        <v>19857614.2939822</v>
      </c>
      <c r="BP21" t="n">
        <v>5604855.97742528</v>
      </c>
      <c r="BQ21" t="n">
        <v>1086678.63137013</v>
      </c>
      <c r="BR21" t="n">
        <v>249728.692183521</v>
      </c>
      <c r="BS21" t="n">
        <v>22120908.7330036</v>
      </c>
      <c r="BT21" t="n">
        <v>8566417.73584691</v>
      </c>
      <c r="BU21" t="n">
        <v>44402535.1887162</v>
      </c>
      <c r="BV21" t="n">
        <v>0</v>
      </c>
      <c r="BW21" t="n">
        <v>1122186565.01768</v>
      </c>
      <c r="BX21" t="n">
        <v>0</v>
      </c>
      <c r="BY21" t="n">
        <v>0</v>
      </c>
      <c r="BZ21" t="n">
        <v>31315623.9249102</v>
      </c>
      <c r="CA21" t="n">
        <v>614444615.513594</v>
      </c>
      <c r="CB21" t="n">
        <v>-1500299733.8406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405037.829326449</v>
      </c>
      <c r="CJ21" t="n">
        <v>0</v>
      </c>
      <c r="CK21" t="n">
        <v>0</v>
      </c>
      <c r="CL21" t="n">
        <v>0</v>
      </c>
      <c r="CM21" t="n">
        <v>35915932.1293224</v>
      </c>
      <c r="CN21" t="n">
        <v>0</v>
      </c>
    </row>
    <row r="22">
      <c r="A22" t="s">
        <v>117</v>
      </c>
      <c r="B22" t="n">
        <v>82047.3871314311</v>
      </c>
      <c r="C22" t="n">
        <v>0</v>
      </c>
      <c r="D22" t="n">
        <v>76500.6163944021</v>
      </c>
      <c r="E22" t="n">
        <v>131984.00478269</v>
      </c>
      <c r="F22" t="n">
        <v>572310.602245336</v>
      </c>
      <c r="G22" t="n">
        <v>362193.230695823</v>
      </c>
      <c r="H22" t="n">
        <v>15102800.6943726</v>
      </c>
      <c r="I22" t="n">
        <v>8986044.13986554</v>
      </c>
      <c r="J22" t="n">
        <v>1302310.45269504</v>
      </c>
      <c r="K22" t="n">
        <v>4299706.17560987</v>
      </c>
      <c r="L22" t="n">
        <v>11940659.8306483</v>
      </c>
      <c r="M22" t="n">
        <v>23510207.9438746</v>
      </c>
      <c r="N22" t="n">
        <v>8046493.20864939</v>
      </c>
      <c r="O22" t="n">
        <v>10317828.7049029</v>
      </c>
      <c r="P22" t="n">
        <v>125539947.809495</v>
      </c>
      <c r="Q22" t="n">
        <v>51460954.5812611</v>
      </c>
      <c r="R22" t="n">
        <v>10433750.5858119</v>
      </c>
      <c r="S22" t="n">
        <v>1273431.20678102</v>
      </c>
      <c r="T22" t="n">
        <v>8482281.00445055</v>
      </c>
      <c r="U22" t="n">
        <v>2061450.72336731</v>
      </c>
      <c r="V22" t="n">
        <v>32670.8434979122</v>
      </c>
      <c r="W22" t="n">
        <v>-964427.733911566</v>
      </c>
      <c r="X22" t="n">
        <v>457914.933364902</v>
      </c>
      <c r="Y22" t="n">
        <v>3615943.71045088</v>
      </c>
      <c r="Z22" t="n">
        <v>5605715.09084193</v>
      </c>
      <c r="AA22" t="n">
        <v>7039623.64126526</v>
      </c>
      <c r="AB22" t="n">
        <v>108797006.023536</v>
      </c>
      <c r="AC22" t="n">
        <v>3977073.89449704</v>
      </c>
      <c r="AD22" t="n">
        <v>1571496.2917637</v>
      </c>
      <c r="AE22" t="n">
        <v>5033945.98298657</v>
      </c>
      <c r="AF22" t="n">
        <v>6339683.28839548</v>
      </c>
      <c r="AG22" t="n">
        <v>1514.78186564993</v>
      </c>
      <c r="AH22" t="n">
        <v>201468.779145188</v>
      </c>
      <c r="AI22" t="n">
        <v>2152.02746540584</v>
      </c>
      <c r="AJ22" t="n">
        <v>1903683.16776104</v>
      </c>
      <c r="AK22" t="n">
        <v>2753.23910482921</v>
      </c>
      <c r="AL22" t="n">
        <v>51170.6803053278</v>
      </c>
      <c r="AM22" t="n">
        <v>263864.587153969</v>
      </c>
      <c r="AN22" t="n">
        <v>1189575.19198706</v>
      </c>
      <c r="AO22" t="n">
        <v>1597534.91889717</v>
      </c>
      <c r="AP22" t="n">
        <v>187638.504266556</v>
      </c>
      <c r="AQ22" t="n">
        <v>41581800.4456566</v>
      </c>
      <c r="AR22" t="n">
        <v>3313858.9953159</v>
      </c>
      <c r="AS22" t="n">
        <v>1776244.82496782</v>
      </c>
      <c r="AT22" t="n">
        <v>488561.904136045</v>
      </c>
      <c r="AU22" t="n">
        <v>129817.264725022</v>
      </c>
      <c r="AV22" t="n">
        <v>5391667.71237647</v>
      </c>
      <c r="AW22" t="n">
        <v>982.939956790746</v>
      </c>
      <c r="AX22" t="n">
        <v>1154306.36025412</v>
      </c>
      <c r="AY22" t="n">
        <v>355860.758633239</v>
      </c>
      <c r="AZ22" t="n">
        <v>2927070.14393748</v>
      </c>
      <c r="BA22" t="n">
        <v>4481038.30877689</v>
      </c>
      <c r="BB22" t="n">
        <v>11998834.0664922</v>
      </c>
      <c r="BC22" t="n">
        <v>12362088.6471474</v>
      </c>
      <c r="BD22" t="n">
        <v>20288145.8149666</v>
      </c>
      <c r="BE22" t="n">
        <v>3406885.68813886</v>
      </c>
      <c r="BF22" t="n">
        <v>1263402.8189014</v>
      </c>
      <c r="BG22" t="n">
        <v>22123856.5793853</v>
      </c>
      <c r="BH22" t="n">
        <v>2050749.28982457</v>
      </c>
      <c r="BI22" t="n">
        <v>534174.768213532</v>
      </c>
      <c r="BJ22" t="n">
        <v>2458883.72026541</v>
      </c>
      <c r="BK22" t="n">
        <v>16233.9890234642</v>
      </c>
      <c r="BL22" t="n">
        <v>455947.271356506</v>
      </c>
      <c r="BM22" t="n">
        <v>1488716.82096497</v>
      </c>
      <c r="BN22" t="n">
        <v>713744.318651458</v>
      </c>
      <c r="BO22" t="n">
        <v>12808922.5866025</v>
      </c>
      <c r="BP22" t="n">
        <v>42054300.643011</v>
      </c>
      <c r="BQ22" t="n">
        <v>13135501.71308</v>
      </c>
      <c r="BR22" t="n">
        <v>0</v>
      </c>
      <c r="BS22" t="n">
        <v>9816303.80073196</v>
      </c>
      <c r="BT22" t="n">
        <v>4603254.43456712</v>
      </c>
      <c r="BU22" t="n">
        <v>482877332.971662</v>
      </c>
      <c r="BV22" t="n">
        <v>0</v>
      </c>
      <c r="BW22" t="n">
        <v>133655073.610538</v>
      </c>
      <c r="BX22" t="n">
        <v>0</v>
      </c>
      <c r="BY22" t="n">
        <v>1263807.28900933</v>
      </c>
      <c r="BZ22" t="n">
        <v>1844992.81744606</v>
      </c>
      <c r="CA22" t="n">
        <v>106011349.625759</v>
      </c>
      <c r="CB22" t="n">
        <v>-1221193063.0441</v>
      </c>
      <c r="CC22" t="n">
        <v>0</v>
      </c>
      <c r="CD22" t="n">
        <v>0</v>
      </c>
      <c r="CE22" t="n">
        <v>18116430.0400951</v>
      </c>
      <c r="CF22" t="n">
        <v>0</v>
      </c>
      <c r="CG22" t="n">
        <v>0</v>
      </c>
      <c r="CH22" t="n">
        <v>0</v>
      </c>
      <c r="CI22" t="n">
        <v>12517604.1989563</v>
      </c>
      <c r="CJ22" t="n">
        <v>0</v>
      </c>
      <c r="CK22" t="n">
        <v>0</v>
      </c>
      <c r="CL22" t="n">
        <v>0</v>
      </c>
      <c r="CM22" t="n">
        <v>42338781.6818841</v>
      </c>
      <c r="CN22" t="n">
        <v>0</v>
      </c>
    </row>
    <row r="23">
      <c r="A23" t="s">
        <v>118</v>
      </c>
      <c r="B23" t="n">
        <v>21002324.7876618</v>
      </c>
      <c r="C23" t="n">
        <v>356975.796041091</v>
      </c>
      <c r="D23" t="n">
        <v>159037.658132672</v>
      </c>
      <c r="E23" t="n">
        <v>315556.171451437</v>
      </c>
      <c r="F23" t="n">
        <v>2085064.12300388</v>
      </c>
      <c r="G23" t="n">
        <v>119560.951694856</v>
      </c>
      <c r="H23" t="n">
        <v>90555484.2446318</v>
      </c>
      <c r="I23" t="n">
        <v>6277339.66661405</v>
      </c>
      <c r="J23" t="n">
        <v>468487.743760856</v>
      </c>
      <c r="K23" t="n">
        <v>9724359.62116319</v>
      </c>
      <c r="L23" t="n">
        <v>9370571.01237884</v>
      </c>
      <c r="M23" t="n">
        <v>84850857.9448077</v>
      </c>
      <c r="N23" t="n">
        <v>830311.342882034</v>
      </c>
      <c r="O23" t="n">
        <v>74236424.6260775</v>
      </c>
      <c r="P23" t="n">
        <v>42915472.5311376</v>
      </c>
      <c r="Q23" t="n">
        <v>7456354.99957868</v>
      </c>
      <c r="R23" t="n">
        <v>2978423.60932131</v>
      </c>
      <c r="S23" t="n">
        <v>1088276.85238371</v>
      </c>
      <c r="T23" t="n">
        <v>7231816.41585072</v>
      </c>
      <c r="U23" t="n">
        <v>647199.895508796</v>
      </c>
      <c r="V23" t="n">
        <v>10250.5458060601</v>
      </c>
      <c r="W23" t="n">
        <v>4226238.04913562</v>
      </c>
      <c r="X23" t="n">
        <v>90537.6758562963</v>
      </c>
      <c r="Y23" t="n">
        <v>2679662.89595123</v>
      </c>
      <c r="Z23" t="n">
        <v>1907309.82263248</v>
      </c>
      <c r="AA23" t="n">
        <v>5978585.76453312</v>
      </c>
      <c r="AB23" t="n">
        <v>2157018.43814382</v>
      </c>
      <c r="AC23" t="n">
        <v>1706874.32733896</v>
      </c>
      <c r="AD23" t="n">
        <v>365230.003232411</v>
      </c>
      <c r="AE23" t="n">
        <v>8397702.32625159</v>
      </c>
      <c r="AF23" t="n">
        <v>1278394.88437022</v>
      </c>
      <c r="AG23" t="n">
        <v>536.926893588582</v>
      </c>
      <c r="AH23" t="n">
        <v>550718.801727852</v>
      </c>
      <c r="AI23" t="n">
        <v>52683.3846957864</v>
      </c>
      <c r="AJ23" t="n">
        <v>425630.127594552</v>
      </c>
      <c r="AK23" t="n">
        <v>143398.145660607</v>
      </c>
      <c r="AL23" t="n">
        <v>16590.9970357671</v>
      </c>
      <c r="AM23" t="n">
        <v>286875.474963062</v>
      </c>
      <c r="AN23" t="n">
        <v>780780.141115405</v>
      </c>
      <c r="AO23" t="n">
        <v>1933.50069212236</v>
      </c>
      <c r="AP23" t="n">
        <v>0</v>
      </c>
      <c r="AQ23" t="n">
        <v>10484997.6438502</v>
      </c>
      <c r="AR23" t="n">
        <v>80548.9192044094</v>
      </c>
      <c r="AS23" t="n">
        <v>439412.888292881</v>
      </c>
      <c r="AT23" t="n">
        <v>41194.9424297887</v>
      </c>
      <c r="AU23" t="n">
        <v>120211.435638176</v>
      </c>
      <c r="AV23" t="n">
        <v>0</v>
      </c>
      <c r="AW23" t="n">
        <v>10088.63563532</v>
      </c>
      <c r="AX23" t="n">
        <v>3517260.00934619</v>
      </c>
      <c r="AY23" t="n">
        <v>398747.302778065</v>
      </c>
      <c r="AZ23" t="n">
        <v>0</v>
      </c>
      <c r="BA23" t="n">
        <v>2994944.48279256</v>
      </c>
      <c r="BB23" t="n">
        <v>7585455.71083875</v>
      </c>
      <c r="BC23" t="n">
        <v>103539.404059737</v>
      </c>
      <c r="BD23" t="n">
        <v>6449226.1231109</v>
      </c>
      <c r="BE23" t="n">
        <v>5057337.93602404</v>
      </c>
      <c r="BF23" t="n">
        <v>864422.825204882</v>
      </c>
      <c r="BG23" t="n">
        <v>46894.3687420421</v>
      </c>
      <c r="BH23" t="n">
        <v>3017472.16835239</v>
      </c>
      <c r="BI23" t="n">
        <v>5572867.12243306</v>
      </c>
      <c r="BJ23" t="n">
        <v>1241971.33300474</v>
      </c>
      <c r="BK23" t="n">
        <v>34492.4242019106</v>
      </c>
      <c r="BL23" t="n">
        <v>1222397.19720402</v>
      </c>
      <c r="BM23" t="n">
        <v>6223324.0577271</v>
      </c>
      <c r="BN23" t="n">
        <v>1993463.72685085</v>
      </c>
      <c r="BO23" t="n">
        <v>12396771.1299205</v>
      </c>
      <c r="BP23" t="n">
        <v>7828340.36629682</v>
      </c>
      <c r="BQ23" t="n">
        <v>15044827.5822876</v>
      </c>
      <c r="BR23" t="n">
        <v>405938.243628279</v>
      </c>
      <c r="BS23" t="n">
        <v>6688288.20178549</v>
      </c>
      <c r="BT23" t="n">
        <v>9879970.06481213</v>
      </c>
      <c r="BU23" t="n">
        <v>200188361.75896</v>
      </c>
      <c r="BV23" t="n">
        <v>0</v>
      </c>
      <c r="BW23" t="n">
        <v>241447430.110421</v>
      </c>
      <c r="BX23" t="n">
        <v>0</v>
      </c>
      <c r="BY23" t="n">
        <v>28439108.613652</v>
      </c>
      <c r="BZ23" t="n">
        <v>19051362.2732644</v>
      </c>
      <c r="CA23" t="n">
        <v>171983803.368968</v>
      </c>
      <c r="CB23" t="n">
        <v>-808595354.743513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134364.94307151</v>
      </c>
      <c r="CJ23" t="n">
        <v>0</v>
      </c>
      <c r="CK23" t="n">
        <v>0</v>
      </c>
      <c r="CL23" t="n">
        <v>0</v>
      </c>
      <c r="CM23" t="n">
        <v>4427314.94952156</v>
      </c>
      <c r="CN23" t="n">
        <v>0</v>
      </c>
    </row>
    <row r="24">
      <c r="A24" t="s">
        <v>119</v>
      </c>
      <c r="B24" t="n">
        <v>7809189.36020333</v>
      </c>
      <c r="C24" t="n">
        <v>359976.910591341</v>
      </c>
      <c r="D24" t="n">
        <v>805633.376940942</v>
      </c>
      <c r="E24" t="n">
        <v>2708549.80240838</v>
      </c>
      <c r="F24" t="n">
        <v>1602283.97084012</v>
      </c>
      <c r="G24" t="n">
        <v>204308.173356962</v>
      </c>
      <c r="H24" t="n">
        <v>4479240.56207194</v>
      </c>
      <c r="I24" t="n">
        <v>21663171.2379353</v>
      </c>
      <c r="J24" t="n">
        <v>1840742.16994526</v>
      </c>
      <c r="K24" t="n">
        <v>4396327.85022617</v>
      </c>
      <c r="L24" t="n">
        <v>4168623.55638779</v>
      </c>
      <c r="M24" t="n">
        <v>56089551.0826707</v>
      </c>
      <c r="N24" t="n">
        <v>291685.029002707</v>
      </c>
      <c r="O24" t="n">
        <v>4884151.68627707</v>
      </c>
      <c r="P24" t="n">
        <v>1018845071.60961</v>
      </c>
      <c r="Q24" t="n">
        <v>11701521.6573544</v>
      </c>
      <c r="R24" t="n">
        <v>8897141.1464871</v>
      </c>
      <c r="S24" t="n">
        <v>975730.047236335</v>
      </c>
      <c r="T24" t="n">
        <v>17647461.0478767</v>
      </c>
      <c r="U24" t="n">
        <v>676315.44728518</v>
      </c>
      <c r="V24" t="n">
        <v>2040.78972439233</v>
      </c>
      <c r="W24" t="n">
        <v>8582947.10078119</v>
      </c>
      <c r="X24" t="n">
        <v>119950.219063974</v>
      </c>
      <c r="Y24" t="n">
        <v>2133556.65241308</v>
      </c>
      <c r="Z24" t="n">
        <v>2503287.54181403</v>
      </c>
      <c r="AA24" t="n">
        <v>3779931.43900916</v>
      </c>
      <c r="AB24" t="n">
        <v>21012061.7331022</v>
      </c>
      <c r="AC24" t="n">
        <v>20719821.9776553</v>
      </c>
      <c r="AD24" t="n">
        <v>6003609.34307703</v>
      </c>
      <c r="AE24" t="n">
        <v>2852568.69097567</v>
      </c>
      <c r="AF24" t="n">
        <v>14923024.1917683</v>
      </c>
      <c r="AG24" t="n">
        <v>0</v>
      </c>
      <c r="AH24" t="n">
        <v>357012.842460909</v>
      </c>
      <c r="AI24" t="n">
        <v>0</v>
      </c>
      <c r="AJ24" t="n">
        <v>37616798.8238211</v>
      </c>
      <c r="AK24" t="n">
        <v>335114.210890975</v>
      </c>
      <c r="AL24" t="n">
        <v>6135.82937781187</v>
      </c>
      <c r="AM24" t="n">
        <v>354371.61582509</v>
      </c>
      <c r="AN24" t="n">
        <v>11467228.7923265</v>
      </c>
      <c r="AO24" t="n">
        <v>112751.209405256</v>
      </c>
      <c r="AP24" t="n">
        <v>43816.3814358804</v>
      </c>
      <c r="AQ24" t="n">
        <v>2777064.59494645</v>
      </c>
      <c r="AR24" t="n">
        <v>123671.179291646</v>
      </c>
      <c r="AS24" t="n">
        <v>397332.190764097</v>
      </c>
      <c r="AT24" t="n">
        <v>10094.6666607988</v>
      </c>
      <c r="AU24" t="n">
        <v>0</v>
      </c>
      <c r="AV24" t="n">
        <v>0</v>
      </c>
      <c r="AW24" t="n">
        <v>0</v>
      </c>
      <c r="AX24" t="n">
        <v>0</v>
      </c>
      <c r="AY24" t="n">
        <v>4227003.06374251</v>
      </c>
      <c r="AZ24" t="n">
        <v>0</v>
      </c>
      <c r="BA24" t="n">
        <v>72377.314334864</v>
      </c>
      <c r="BB24" t="n">
        <v>3585205.68328191</v>
      </c>
      <c r="BC24" t="n">
        <v>1184194.1621858</v>
      </c>
      <c r="BD24" t="n">
        <v>30198712.9017068</v>
      </c>
      <c r="BE24" t="n">
        <v>4338772.90478486</v>
      </c>
      <c r="BF24" t="n">
        <v>964813.016415753</v>
      </c>
      <c r="BG24" t="n">
        <v>2428322.78915678</v>
      </c>
      <c r="BH24" t="n">
        <v>5296660.13874285</v>
      </c>
      <c r="BI24" t="n">
        <v>538428.535221977</v>
      </c>
      <c r="BJ24" t="n">
        <v>7221545.34522793</v>
      </c>
      <c r="BK24" t="n">
        <v>24690.8189368981</v>
      </c>
      <c r="BL24" t="n">
        <v>271474.656681915</v>
      </c>
      <c r="BM24" t="n">
        <v>895384.786435493</v>
      </c>
      <c r="BN24" t="n">
        <v>4252232.31334935</v>
      </c>
      <c r="BO24" t="n">
        <v>35429733.7706629</v>
      </c>
      <c r="BP24" t="n">
        <v>35957381.0400672</v>
      </c>
      <c r="BQ24" t="n">
        <v>500063.310323832</v>
      </c>
      <c r="BR24" t="n">
        <v>12654362.7792694</v>
      </c>
      <c r="BS24" t="n">
        <v>30115383.6334382</v>
      </c>
      <c r="BT24" t="n">
        <v>3303995.25683603</v>
      </c>
      <c r="BU24" t="n">
        <v>842779300.491865</v>
      </c>
      <c r="BV24" t="n">
        <v>0</v>
      </c>
      <c r="BW24" t="n">
        <v>2095811242.15357</v>
      </c>
      <c r="BX24" t="n">
        <v>0</v>
      </c>
      <c r="BY24" t="n">
        <v>0</v>
      </c>
      <c r="BZ24" t="n">
        <v>90114251.170602</v>
      </c>
      <c r="CA24" t="n">
        <v>946376547.0445</v>
      </c>
      <c r="CB24" t="n">
        <v>-3526048846.5162</v>
      </c>
      <c r="CC24" t="n">
        <v>0</v>
      </c>
      <c r="CD24" t="n">
        <v>0</v>
      </c>
      <c r="CE24" t="n">
        <v>55495275.1093593</v>
      </c>
      <c r="CF24" t="n">
        <v>0</v>
      </c>
      <c r="CG24" t="n">
        <v>0</v>
      </c>
      <c r="CH24" t="n">
        <v>0</v>
      </c>
      <c r="CI24" t="n">
        <v>931601.835857891</v>
      </c>
      <c r="CJ24" t="n">
        <v>0</v>
      </c>
      <c r="CK24" t="n">
        <v>0</v>
      </c>
      <c r="CL24" t="n">
        <v>0</v>
      </c>
      <c r="CM24" t="n">
        <v>104332597.606406</v>
      </c>
      <c r="CN24" t="n">
        <v>0</v>
      </c>
    </row>
    <row r="25">
      <c r="A25" t="s">
        <v>120</v>
      </c>
      <c r="B25" t="n">
        <v>0</v>
      </c>
      <c r="C25" t="n">
        <v>32464.277128903</v>
      </c>
      <c r="D25" t="n">
        <v>0</v>
      </c>
      <c r="E25" t="n">
        <v>19623.2101893298</v>
      </c>
      <c r="F25" t="n">
        <v>0</v>
      </c>
      <c r="G25" t="n">
        <v>0</v>
      </c>
      <c r="H25" t="n">
        <v>37572.9795813805</v>
      </c>
      <c r="I25" t="n">
        <v>59619.4762058237</v>
      </c>
      <c r="J25" t="n">
        <v>0</v>
      </c>
      <c r="K25" t="n">
        <v>0</v>
      </c>
      <c r="L25" t="n">
        <v>106744.621814446</v>
      </c>
      <c r="M25" t="n">
        <v>447309.798660874</v>
      </c>
      <c r="N25" t="n">
        <v>0</v>
      </c>
      <c r="O25" t="n">
        <v>0</v>
      </c>
      <c r="P25" t="n">
        <v>2089393.77586785</v>
      </c>
      <c r="Q25" t="n">
        <v>398894057.800816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136017.900933532</v>
      </c>
      <c r="AD25" t="n">
        <v>0</v>
      </c>
      <c r="AE25" t="n">
        <v>0</v>
      </c>
      <c r="AF25" t="n">
        <v>0</v>
      </c>
      <c r="AG25" t="n">
        <v>164688.418848528</v>
      </c>
      <c r="AH25" t="n">
        <v>3278381.76195092</v>
      </c>
      <c r="AI25" t="n">
        <v>3633428.93977065</v>
      </c>
      <c r="AJ25" t="n">
        <v>24195.9981754831</v>
      </c>
      <c r="AK25" t="n">
        <v>38452.1768486381</v>
      </c>
      <c r="AL25" t="n">
        <v>0</v>
      </c>
      <c r="AM25" t="n">
        <v>10014902.0780837</v>
      </c>
      <c r="AN25" t="n">
        <v>0</v>
      </c>
      <c r="AO25" t="n">
        <v>0</v>
      </c>
      <c r="AP25" t="n">
        <v>0</v>
      </c>
      <c r="AQ25" t="n">
        <v>3129.4036994917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788042.242023688</v>
      </c>
      <c r="BC25" t="n">
        <v>43010.4403246887</v>
      </c>
      <c r="BD25" t="n">
        <v>83744.4493117559</v>
      </c>
      <c r="BE25" t="n">
        <v>137771.875675317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24734.006409016</v>
      </c>
      <c r="BM25" t="n">
        <v>0</v>
      </c>
      <c r="BN25" t="n">
        <v>0</v>
      </c>
      <c r="BO25" t="n">
        <v>405981.827318244</v>
      </c>
      <c r="BP25" t="n">
        <v>112405887.036225</v>
      </c>
      <c r="BQ25" t="n">
        <v>7207700.01403603</v>
      </c>
      <c r="BR25" t="n">
        <v>1876.66279776941</v>
      </c>
      <c r="BS25" t="n">
        <v>0</v>
      </c>
      <c r="BT25" t="n">
        <v>138647.154283062</v>
      </c>
      <c r="BU25" t="n">
        <v>92383768.134521</v>
      </c>
      <c r="BV25" t="n">
        <v>0</v>
      </c>
      <c r="BW25" t="n">
        <v>169160687.446345</v>
      </c>
      <c r="BX25" t="n">
        <v>0</v>
      </c>
      <c r="BY25" t="n">
        <v>0</v>
      </c>
      <c r="BZ25" t="n">
        <v>151799177.961122</v>
      </c>
      <c r="CA25" t="n">
        <v>188200060.117453</v>
      </c>
      <c r="CB25" t="n">
        <v>-480677516.495386</v>
      </c>
      <c r="CC25" t="n">
        <v>0</v>
      </c>
      <c r="CD25" t="n">
        <v>0</v>
      </c>
      <c r="CE25" t="n">
        <v>9306078.71722176</v>
      </c>
      <c r="CF25" t="n">
        <v>0</v>
      </c>
      <c r="CG25" t="n">
        <v>0</v>
      </c>
      <c r="CH25" t="n">
        <v>0</v>
      </c>
      <c r="CI25" t="n">
        <v>10326031.7445468</v>
      </c>
      <c r="CJ25" t="n">
        <v>0</v>
      </c>
      <c r="CK25" t="n">
        <v>0</v>
      </c>
      <c r="CL25" t="n">
        <v>0</v>
      </c>
      <c r="CM25" t="n">
        <v>456971.576698746</v>
      </c>
      <c r="CN25" t="n">
        <v>0</v>
      </c>
    </row>
    <row r="26">
      <c r="A26" t="s">
        <v>121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47105075.742123</v>
      </c>
      <c r="I26" t="n">
        <v>6311435.49159131</v>
      </c>
      <c r="J26" t="n">
        <v>0</v>
      </c>
      <c r="K26" t="n">
        <v>0</v>
      </c>
      <c r="L26" t="n">
        <v>0</v>
      </c>
      <c r="M26" t="n">
        <v>1512716.71005129</v>
      </c>
      <c r="N26" t="n">
        <v>16096.5951032828</v>
      </c>
      <c r="O26" t="n">
        <v>0</v>
      </c>
      <c r="P26" t="n">
        <v>183066.900865643</v>
      </c>
      <c r="Q26" t="n">
        <v>1174465.05655206</v>
      </c>
      <c r="R26" t="n">
        <v>101091545.786182</v>
      </c>
      <c r="S26" t="n">
        <v>115055.425825692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2000894.88361622</v>
      </c>
      <c r="AB26" t="n">
        <v>3267081.04083434</v>
      </c>
      <c r="AC26" t="n">
        <v>713680.833746928</v>
      </c>
      <c r="AD26" t="n">
        <v>0</v>
      </c>
      <c r="AE26" t="n">
        <v>110804.566786511</v>
      </c>
      <c r="AF26" t="n">
        <v>7670814.06749314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747.330922085198</v>
      </c>
      <c r="AP26" t="n">
        <v>0</v>
      </c>
      <c r="AQ26" t="n">
        <v>251008.200275076</v>
      </c>
      <c r="AR26" t="n">
        <v>144213.970416433</v>
      </c>
      <c r="AS26" t="n">
        <v>0</v>
      </c>
      <c r="AT26" t="n">
        <v>0</v>
      </c>
      <c r="AU26" t="n">
        <v>0</v>
      </c>
      <c r="AV26" t="n">
        <v>0</v>
      </c>
      <c r="AW26" t="n">
        <v>11042906.6046684</v>
      </c>
      <c r="AX26" t="n">
        <v>143037.364335851</v>
      </c>
      <c r="AY26" t="n">
        <v>0</v>
      </c>
      <c r="AZ26" t="n">
        <v>24212.4145329698</v>
      </c>
      <c r="BA26" t="n">
        <v>3099.97930985507</v>
      </c>
      <c r="BB26" t="n">
        <v>940534.888504925</v>
      </c>
      <c r="BC26" t="n">
        <v>15547.3816892226</v>
      </c>
      <c r="BD26" t="n">
        <v>9222.57429899773</v>
      </c>
      <c r="BE26" t="n">
        <v>0</v>
      </c>
      <c r="BF26" t="n">
        <v>0</v>
      </c>
      <c r="BG26" t="n">
        <v>1185932.24228725</v>
      </c>
      <c r="BH26" t="n">
        <v>382738.462543648</v>
      </c>
      <c r="BI26" t="n">
        <v>4451.47125822926</v>
      </c>
      <c r="BJ26" t="n">
        <v>685830.097370395</v>
      </c>
      <c r="BK26" t="n">
        <v>255216.898071966</v>
      </c>
      <c r="BL26" t="n">
        <v>1367927.25094729</v>
      </c>
      <c r="BM26" t="n">
        <v>12729.1455322232</v>
      </c>
      <c r="BN26" t="n">
        <v>1074053.97867891</v>
      </c>
      <c r="BO26" t="n">
        <v>1854423.73903659</v>
      </c>
      <c r="BP26" t="n">
        <v>0</v>
      </c>
      <c r="BQ26" t="n">
        <v>0</v>
      </c>
      <c r="BR26" t="n">
        <v>565509.715586654</v>
      </c>
      <c r="BS26" t="n">
        <v>56626.0285901481</v>
      </c>
      <c r="BT26" t="n">
        <v>4085414.77654627</v>
      </c>
      <c r="BU26" t="n">
        <v>278125180.999326</v>
      </c>
      <c r="BV26" t="n">
        <v>0</v>
      </c>
      <c r="BW26" t="n">
        <v>861829165.232595</v>
      </c>
      <c r="BX26" t="n">
        <v>0</v>
      </c>
      <c r="BY26" t="n">
        <v>3304511.22293473</v>
      </c>
      <c r="BZ26" t="n">
        <v>19163949.7123241</v>
      </c>
      <c r="CA26" t="n">
        <v>80510711.9304565</v>
      </c>
      <c r="CB26" t="n">
        <v>-704782512.918471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112852.704297506</v>
      </c>
      <c r="CJ26" t="n">
        <v>0</v>
      </c>
      <c r="CK26" t="n">
        <v>0</v>
      </c>
      <c r="CL26" t="n">
        <v>0</v>
      </c>
      <c r="CM26" t="n">
        <v>7213084.78987726</v>
      </c>
      <c r="CN26" t="n">
        <v>0</v>
      </c>
    </row>
    <row r="27">
      <c r="A27" t="s">
        <v>122</v>
      </c>
      <c r="B27" t="n">
        <v>516958.373570542</v>
      </c>
      <c r="C27" t="n">
        <v>0</v>
      </c>
      <c r="D27" t="n">
        <v>40677.7598484361</v>
      </c>
      <c r="E27" t="n">
        <v>130224.175802779</v>
      </c>
      <c r="F27" t="n">
        <v>77109.850844593</v>
      </c>
      <c r="G27" t="n">
        <v>0</v>
      </c>
      <c r="H27" t="n">
        <v>2549948.11106836</v>
      </c>
      <c r="I27" t="n">
        <v>239562.573208232</v>
      </c>
      <c r="J27" t="n">
        <v>209939.68472311</v>
      </c>
      <c r="K27" t="n">
        <v>114139.372721065</v>
      </c>
      <c r="L27" t="n">
        <v>170756.430010183</v>
      </c>
      <c r="M27" t="n">
        <v>11739798.2134092</v>
      </c>
      <c r="N27" t="n">
        <v>171.268401602491</v>
      </c>
      <c r="O27" t="n">
        <v>3654370.71528596</v>
      </c>
      <c r="P27" t="n">
        <v>17736130.7733585</v>
      </c>
      <c r="Q27" t="n">
        <v>96131.4186669417</v>
      </c>
      <c r="R27" t="n">
        <v>100860.492634421</v>
      </c>
      <c r="S27" t="n">
        <v>6358033.50446897</v>
      </c>
      <c r="T27" t="n">
        <v>145224.957724232</v>
      </c>
      <c r="U27" t="n">
        <v>89618.0934858562</v>
      </c>
      <c r="V27" t="n">
        <v>571392.738444644</v>
      </c>
      <c r="W27" t="n">
        <v>0</v>
      </c>
      <c r="X27" t="n">
        <v>2914.95605460833</v>
      </c>
      <c r="Y27" t="n">
        <v>12077.1637167153</v>
      </c>
      <c r="Z27" t="n">
        <v>653741.535451428</v>
      </c>
      <c r="AA27" t="n">
        <v>594491.133952579</v>
      </c>
      <c r="AB27" t="n">
        <v>2144150.05668004</v>
      </c>
      <c r="AC27" t="n">
        <v>3043828.67685443</v>
      </c>
      <c r="AD27" t="n">
        <v>407940.06225165</v>
      </c>
      <c r="AE27" t="n">
        <v>35761.9360679159</v>
      </c>
      <c r="AF27" t="n">
        <v>5042773.06417694</v>
      </c>
      <c r="AG27" t="n">
        <v>0</v>
      </c>
      <c r="AH27" t="n">
        <v>3299.06247961197</v>
      </c>
      <c r="AI27" t="n">
        <v>0</v>
      </c>
      <c r="AJ27" t="n">
        <v>51387.3708728421</v>
      </c>
      <c r="AK27" t="n">
        <v>15525.5009474342</v>
      </c>
      <c r="AL27" t="n">
        <v>1889.69998237038</v>
      </c>
      <c r="AM27" t="n">
        <v>356535.217988128</v>
      </c>
      <c r="AN27" t="n">
        <v>905941.155572878</v>
      </c>
      <c r="AO27" t="n">
        <v>1946.63390081091</v>
      </c>
      <c r="AP27" t="n">
        <v>845.901571629054</v>
      </c>
      <c r="AQ27" t="n">
        <v>286134.200186394</v>
      </c>
      <c r="AR27" t="n">
        <v>32517.2283043614</v>
      </c>
      <c r="AS27" t="n">
        <v>167085.004181238</v>
      </c>
      <c r="AT27" t="n">
        <v>9369.12391916443</v>
      </c>
      <c r="AU27" t="n">
        <v>42173.8776409551</v>
      </c>
      <c r="AV27" t="n">
        <v>0</v>
      </c>
      <c r="AW27" t="n">
        <v>0</v>
      </c>
      <c r="AX27" t="n">
        <v>514799.575151942</v>
      </c>
      <c r="AY27" t="n">
        <v>135128.73691132</v>
      </c>
      <c r="AZ27" t="n">
        <v>24278.9337869858</v>
      </c>
      <c r="BA27" t="n">
        <v>21699.7332241631</v>
      </c>
      <c r="BB27" t="n">
        <v>2487215.91271528</v>
      </c>
      <c r="BC27" t="n">
        <v>25265.9355341001</v>
      </c>
      <c r="BD27" t="n">
        <v>6043444.47214525</v>
      </c>
      <c r="BE27" t="n">
        <v>720482.002523893</v>
      </c>
      <c r="BF27" t="n">
        <v>656978.564655142</v>
      </c>
      <c r="BG27" t="n">
        <v>62734641.8378555</v>
      </c>
      <c r="BH27" t="n">
        <v>69756152.3758556</v>
      </c>
      <c r="BI27" t="n">
        <v>2461900.43678332</v>
      </c>
      <c r="BJ27" t="n">
        <v>5927758.91377153</v>
      </c>
      <c r="BK27" t="n">
        <v>38192.2184406447</v>
      </c>
      <c r="BL27" t="n">
        <v>814478.113947822</v>
      </c>
      <c r="BM27" t="n">
        <v>270238.576551765</v>
      </c>
      <c r="BN27" t="n">
        <v>3851439.43978771</v>
      </c>
      <c r="BO27" t="n">
        <v>4696610.50499069</v>
      </c>
      <c r="BP27" t="n">
        <v>5401238.58263509</v>
      </c>
      <c r="BQ27" t="n">
        <v>2146085.09673545</v>
      </c>
      <c r="BR27" t="n">
        <v>0</v>
      </c>
      <c r="BS27" t="n">
        <v>30427535.8485942</v>
      </c>
      <c r="BT27" t="n">
        <v>109207.791258238</v>
      </c>
      <c r="BU27" t="n">
        <v>493100742.194891</v>
      </c>
      <c r="BV27" t="n">
        <v>0</v>
      </c>
      <c r="BW27" t="n">
        <v>83038258.4153681</v>
      </c>
      <c r="BX27" t="n">
        <v>0</v>
      </c>
      <c r="BY27" t="n">
        <v>0</v>
      </c>
      <c r="BZ27" t="n">
        <v>5761525.2085302</v>
      </c>
      <c r="CA27" t="n">
        <v>96079859.7504395</v>
      </c>
      <c r="CB27" t="n">
        <v>-611650764.311229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43823.600756305</v>
      </c>
      <c r="CJ27" t="n">
        <v>0</v>
      </c>
      <c r="CK27" t="n">
        <v>0</v>
      </c>
      <c r="CL27" t="n">
        <v>0</v>
      </c>
      <c r="CM27" t="n">
        <v>2751243.26620499</v>
      </c>
      <c r="CN27" t="n">
        <v>0</v>
      </c>
    </row>
    <row r="28">
      <c r="A28" t="s">
        <v>123</v>
      </c>
      <c r="B28" t="n">
        <v>146142822.545187</v>
      </c>
      <c r="C28" t="n">
        <v>739958.487347621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200258.305821378</v>
      </c>
      <c r="J28" t="n">
        <v>1524917.11865268</v>
      </c>
      <c r="K28" t="n">
        <v>24362.9951220652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6308.81455852332</v>
      </c>
      <c r="T28" t="n">
        <v>497445038.210872</v>
      </c>
      <c r="U28" t="n">
        <v>88851.166144634</v>
      </c>
      <c r="V28" t="n">
        <v>768263.304134501</v>
      </c>
      <c r="W28" t="n">
        <v>2094474.47442494</v>
      </c>
      <c r="X28" t="n">
        <v>188433.161903962</v>
      </c>
      <c r="Y28" t="n">
        <v>4526261.96684705</v>
      </c>
      <c r="Z28" t="n">
        <v>7798267.43279264</v>
      </c>
      <c r="AA28" t="n">
        <v>1061197.92743522</v>
      </c>
      <c r="AB28" t="n">
        <v>5136864.26425031</v>
      </c>
      <c r="AC28" t="n">
        <v>3724.45117675893</v>
      </c>
      <c r="AD28" t="n">
        <v>6908543.20029026</v>
      </c>
      <c r="AE28" t="n">
        <v>5537530.47064537</v>
      </c>
      <c r="AF28" t="n">
        <v>5131824.50335534</v>
      </c>
      <c r="AG28" t="n">
        <v>135336.662068024</v>
      </c>
      <c r="AH28" t="n">
        <v>7804.56893511792</v>
      </c>
      <c r="AI28" t="n">
        <v>2630070.4332159</v>
      </c>
      <c r="AJ28" t="n">
        <v>205021.734600804</v>
      </c>
      <c r="AK28" t="n">
        <v>0</v>
      </c>
      <c r="AL28" t="n">
        <v>0</v>
      </c>
      <c r="AM28" t="n">
        <v>20918.8967662985</v>
      </c>
      <c r="AN28" t="n">
        <v>0</v>
      </c>
      <c r="AO28" t="n">
        <v>17967.0333923629</v>
      </c>
      <c r="AP28" t="n">
        <v>4743.5873436598</v>
      </c>
      <c r="AQ28" t="n">
        <v>0</v>
      </c>
      <c r="AR28" t="n">
        <v>58350.4716095568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4878958.52088905</v>
      </c>
      <c r="BC28" t="n">
        <v>109970.298788872</v>
      </c>
      <c r="BD28" t="n">
        <v>0</v>
      </c>
      <c r="BE28" t="n">
        <v>0</v>
      </c>
      <c r="BF28" t="n">
        <v>8663100.14510711</v>
      </c>
      <c r="BG28" t="n">
        <v>20705.4355674166</v>
      </c>
      <c r="BH28" t="n">
        <v>13808913.4382723</v>
      </c>
      <c r="BI28" t="n">
        <v>15413148.4760401</v>
      </c>
      <c r="BJ28" t="n">
        <v>47633025.8684303</v>
      </c>
      <c r="BK28" t="n">
        <v>409531.852535487</v>
      </c>
      <c r="BL28" t="n">
        <v>12292027.6520587</v>
      </c>
      <c r="BM28" t="n">
        <v>33204674.728652</v>
      </c>
      <c r="BN28" t="n">
        <v>226206889.326096</v>
      </c>
      <c r="BO28" t="n">
        <v>4234686.87765717</v>
      </c>
      <c r="BP28" t="n">
        <v>12437371.7265365</v>
      </c>
      <c r="BQ28" t="n">
        <v>168370.855241526</v>
      </c>
      <c r="BR28" t="n">
        <v>2916151.62107385</v>
      </c>
      <c r="BS28" t="n">
        <v>226735730.517554</v>
      </c>
      <c r="BT28" t="n">
        <v>0</v>
      </c>
      <c r="BU28" t="n">
        <v>2521659495.89502</v>
      </c>
      <c r="BV28" t="n">
        <v>0</v>
      </c>
      <c r="BW28" t="n">
        <v>0</v>
      </c>
      <c r="BX28" t="n">
        <v>0</v>
      </c>
      <c r="BY28" t="n">
        <v>0</v>
      </c>
      <c r="BZ28" t="n">
        <v>45491670.6836594</v>
      </c>
      <c r="CA28" t="n">
        <v>177950008.586877</v>
      </c>
      <c r="CB28" t="n">
        <v>-765435780.786271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124</v>
      </c>
      <c r="B29" t="n">
        <v>493088.08584003</v>
      </c>
      <c r="C29" t="n">
        <v>188696.785642209</v>
      </c>
      <c r="D29" t="n">
        <v>0</v>
      </c>
      <c r="E29" t="n">
        <v>6541.07006310992</v>
      </c>
      <c r="F29" t="n">
        <v>0</v>
      </c>
      <c r="G29" t="n">
        <v>0</v>
      </c>
      <c r="H29" t="n">
        <v>2683012.6496183</v>
      </c>
      <c r="I29" t="n">
        <v>4239568.72810755</v>
      </c>
      <c r="J29" t="n">
        <v>816877.558255641</v>
      </c>
      <c r="K29" t="n">
        <v>0</v>
      </c>
      <c r="L29" t="n">
        <v>929.771339313134</v>
      </c>
      <c r="M29" t="n">
        <v>1603561.54658622</v>
      </c>
      <c r="N29" t="n">
        <v>166.058633109892</v>
      </c>
      <c r="O29" t="n">
        <v>0</v>
      </c>
      <c r="P29" t="n">
        <v>11388706.678543</v>
      </c>
      <c r="Q29" t="n">
        <v>4206347.76233051</v>
      </c>
      <c r="R29" t="n">
        <v>58376223.8633962</v>
      </c>
      <c r="S29" t="n">
        <v>875918.365962838</v>
      </c>
      <c r="T29" t="n">
        <v>683255.169796591</v>
      </c>
      <c r="U29" t="n">
        <v>61424131.6453715</v>
      </c>
      <c r="V29" t="n">
        <v>6612560.40069731</v>
      </c>
      <c r="W29" t="n">
        <v>13101566.1577113</v>
      </c>
      <c r="X29" t="n">
        <v>101378.346843384</v>
      </c>
      <c r="Y29" t="n">
        <v>305539.1470795</v>
      </c>
      <c r="Z29" t="n">
        <v>3608.42201675245</v>
      </c>
      <c r="AA29" t="n">
        <v>15657828.3382202</v>
      </c>
      <c r="AB29" t="n">
        <v>6520679.95314561</v>
      </c>
      <c r="AC29" t="n">
        <v>155480.913783509</v>
      </c>
      <c r="AD29" t="n">
        <v>366952.806797329</v>
      </c>
      <c r="AE29" t="n">
        <v>41643087.4197398</v>
      </c>
      <c r="AF29" t="n">
        <v>3536460.52317709</v>
      </c>
      <c r="AG29" t="n">
        <v>0</v>
      </c>
      <c r="AH29" t="n">
        <v>0</v>
      </c>
      <c r="AI29" t="n">
        <v>135106.012432164</v>
      </c>
      <c r="AJ29" t="n">
        <v>64052.0990856085</v>
      </c>
      <c r="AK29" t="n">
        <v>0</v>
      </c>
      <c r="AL29" t="n">
        <v>6033.17687817805</v>
      </c>
      <c r="AM29" t="n">
        <v>91121.6091596119</v>
      </c>
      <c r="AN29" t="n">
        <v>50405.4759227292</v>
      </c>
      <c r="AO29" t="n">
        <v>200.453544103855</v>
      </c>
      <c r="AP29" t="n">
        <v>105250.945807965</v>
      </c>
      <c r="AQ29" t="n">
        <v>3543.52169253209</v>
      </c>
      <c r="AR29" t="n">
        <v>555.774838333061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110054.803717893</v>
      </c>
      <c r="AY29" t="n">
        <v>406448.039754936</v>
      </c>
      <c r="AZ29" t="n">
        <v>0</v>
      </c>
      <c r="BA29" t="n">
        <v>0</v>
      </c>
      <c r="BB29" t="n">
        <v>451027.930504464</v>
      </c>
      <c r="BC29" t="n">
        <v>17149.2691022264</v>
      </c>
      <c r="BD29" t="n">
        <v>561143.112706954</v>
      </c>
      <c r="BE29" t="n">
        <v>873120.120458581</v>
      </c>
      <c r="BF29" t="n">
        <v>48680.5958008699</v>
      </c>
      <c r="BG29" t="n">
        <v>418107.717912297</v>
      </c>
      <c r="BH29" t="n">
        <v>1658058.93210142</v>
      </c>
      <c r="BI29" t="n">
        <v>13438280.0926711</v>
      </c>
      <c r="BJ29" t="n">
        <v>7411254.56875692</v>
      </c>
      <c r="BK29" t="n">
        <v>0</v>
      </c>
      <c r="BL29" t="n">
        <v>676499.394230678</v>
      </c>
      <c r="BM29" t="n">
        <v>15122891.7458583</v>
      </c>
      <c r="BN29" t="n">
        <v>1856352.67890732</v>
      </c>
      <c r="BO29" t="n">
        <v>2663674.44267847</v>
      </c>
      <c r="BP29" t="n">
        <v>4184409.41782716</v>
      </c>
      <c r="BQ29" t="n">
        <v>1541004.97918739</v>
      </c>
      <c r="BR29" t="n">
        <v>5100.00956505088</v>
      </c>
      <c r="BS29" t="n">
        <v>14744658.884283</v>
      </c>
      <c r="BT29" t="n">
        <v>97790.298548443</v>
      </c>
      <c r="BU29" t="n">
        <v>106965362.183059</v>
      </c>
      <c r="BV29" t="n">
        <v>0</v>
      </c>
      <c r="BW29" t="n">
        <v>6054958.3117293</v>
      </c>
      <c r="BX29" t="n">
        <v>0</v>
      </c>
      <c r="BY29" t="n">
        <v>1705598.07851196</v>
      </c>
      <c r="BZ29" t="n">
        <v>5497473.79787185</v>
      </c>
      <c r="CA29" t="n">
        <v>69162283.7436492</v>
      </c>
      <c r="CB29" t="n">
        <v>-348378524.18641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58217.7380639878</v>
      </c>
      <c r="CJ29" t="n">
        <v>0</v>
      </c>
      <c r="CK29" t="n">
        <v>0</v>
      </c>
      <c r="CL29" t="n">
        <v>0</v>
      </c>
      <c r="CM29" t="n">
        <v>15466.5610992697</v>
      </c>
      <c r="CN29" t="n">
        <v>0</v>
      </c>
    </row>
    <row r="30">
      <c r="A30" t="s">
        <v>125</v>
      </c>
      <c r="B30" t="n">
        <v>487391.910162603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13618192.9033282</v>
      </c>
      <c r="Q30" t="n">
        <v>0</v>
      </c>
      <c r="R30" t="n">
        <v>0</v>
      </c>
      <c r="S30" t="n">
        <v>226040.975049396</v>
      </c>
      <c r="T30" t="n">
        <v>71431.9652625795</v>
      </c>
      <c r="U30" t="n">
        <v>7535835.63206598</v>
      </c>
      <c r="V30" t="n">
        <v>9317059.6885204</v>
      </c>
      <c r="W30" t="n">
        <v>0</v>
      </c>
      <c r="X30" t="n">
        <v>3450453.46814774</v>
      </c>
      <c r="Y30" t="n">
        <v>0</v>
      </c>
      <c r="Z30" t="n">
        <v>0</v>
      </c>
      <c r="AA30" t="n">
        <v>1624.93470893836</v>
      </c>
      <c r="AB30" t="n">
        <v>1255685.59545305</v>
      </c>
      <c r="AC30" t="n">
        <v>695167.39030494</v>
      </c>
      <c r="AD30" t="n">
        <v>23940.9838973839</v>
      </c>
      <c r="AE30" t="n">
        <v>551277.180313754</v>
      </c>
      <c r="AF30" t="n">
        <v>1176869.18495102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64392.5778589502</v>
      </c>
      <c r="AP30" t="n">
        <v>11816.1738536159</v>
      </c>
      <c r="AQ30" t="n">
        <v>4119446.29608966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215719.724689658</v>
      </c>
      <c r="AZ30" t="n">
        <v>0</v>
      </c>
      <c r="BA30" t="n">
        <v>0</v>
      </c>
      <c r="BB30" t="n">
        <v>5703.86076447793</v>
      </c>
      <c r="BC30" t="n">
        <v>6732.70241113535</v>
      </c>
      <c r="BD30" t="n">
        <v>672345.849961597</v>
      </c>
      <c r="BE30" t="n">
        <v>79208.0743253784</v>
      </c>
      <c r="BF30" t="n">
        <v>172692.009601185</v>
      </c>
      <c r="BG30" t="n">
        <v>407875.730300189</v>
      </c>
      <c r="BH30" t="n">
        <v>465708.726493965</v>
      </c>
      <c r="BI30" t="n">
        <v>0</v>
      </c>
      <c r="BJ30" t="n">
        <v>3091209.46912144</v>
      </c>
      <c r="BK30" t="n">
        <v>51517.2198179403</v>
      </c>
      <c r="BL30" t="n">
        <v>238602.888301296</v>
      </c>
      <c r="BM30" t="n">
        <v>248125.697691885</v>
      </c>
      <c r="BN30" t="n">
        <v>3043707.21152279</v>
      </c>
      <c r="BO30" t="n">
        <v>8063011.47058323</v>
      </c>
      <c r="BP30" t="n">
        <v>3024018.23298478</v>
      </c>
      <c r="BQ30" t="n">
        <v>525026.641757614</v>
      </c>
      <c r="BR30" t="n">
        <v>265914.538663857</v>
      </c>
      <c r="BS30" t="n">
        <v>18492864.6225343</v>
      </c>
      <c r="BT30" t="n">
        <v>26653.9772296035</v>
      </c>
      <c r="BU30" t="n">
        <v>1038452570.23081</v>
      </c>
      <c r="BV30" t="n">
        <v>0</v>
      </c>
      <c r="BW30" t="n">
        <v>0</v>
      </c>
      <c r="BX30" t="n">
        <v>0</v>
      </c>
      <c r="BY30" t="n">
        <v>0</v>
      </c>
      <c r="BZ30" t="n">
        <v>-3310773.03803701</v>
      </c>
      <c r="CA30" t="n">
        <v>12200815.240685</v>
      </c>
      <c r="CB30" t="n">
        <v>-1098995239.57689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126</v>
      </c>
      <c r="B31" t="n">
        <v>2806900.39617622</v>
      </c>
      <c r="C31" t="n">
        <v>0</v>
      </c>
      <c r="D31" t="n">
        <v>52852.9960392802</v>
      </c>
      <c r="E31" t="n">
        <v>381406.003361618</v>
      </c>
      <c r="F31" t="n">
        <v>133685.97812035</v>
      </c>
      <c r="G31" t="n">
        <v>73571.6079091411</v>
      </c>
      <c r="H31" t="n">
        <v>4376267.93722794</v>
      </c>
      <c r="I31" t="n">
        <v>6593316.03877558</v>
      </c>
      <c r="J31" t="n">
        <v>3250550.44864312</v>
      </c>
      <c r="K31" t="n">
        <v>4552828.47857548</v>
      </c>
      <c r="L31" t="n">
        <v>3223814.2040834</v>
      </c>
      <c r="M31" t="n">
        <v>5627834.5009704</v>
      </c>
      <c r="N31" t="n">
        <v>91675.9245744231</v>
      </c>
      <c r="O31" t="n">
        <v>4721347.67714591</v>
      </c>
      <c r="P31" t="n">
        <v>18711907.947962</v>
      </c>
      <c r="Q31" t="n">
        <v>1270994.93343272</v>
      </c>
      <c r="R31" t="n">
        <v>13770653.7890856</v>
      </c>
      <c r="S31" t="n">
        <v>1308799.66217302</v>
      </c>
      <c r="T31" t="n">
        <v>54730473.8105902</v>
      </c>
      <c r="U31" t="n">
        <v>2335628.53551764</v>
      </c>
      <c r="V31" t="n">
        <v>47787.3257721937</v>
      </c>
      <c r="W31" t="n">
        <v>210732784.579563</v>
      </c>
      <c r="X31" t="n">
        <v>5910772.32809105</v>
      </c>
      <c r="Y31" t="n">
        <v>2366834.75439369</v>
      </c>
      <c r="Z31" t="n">
        <v>5988694.16877282</v>
      </c>
      <c r="AA31" t="n">
        <v>14881183.9211047</v>
      </c>
      <c r="AB31" t="n">
        <v>13656527.1553462</v>
      </c>
      <c r="AC31" t="n">
        <v>513977.761212483</v>
      </c>
      <c r="AD31" t="n">
        <v>2633656.39222292</v>
      </c>
      <c r="AE31" t="n">
        <v>1977482.27858354</v>
      </c>
      <c r="AF31" t="n">
        <v>3268179.28033555</v>
      </c>
      <c r="AG31" t="n">
        <v>5977.81565501003</v>
      </c>
      <c r="AH31" t="n">
        <v>304363.613131136</v>
      </c>
      <c r="AI31" t="n">
        <v>14411.9730362674</v>
      </c>
      <c r="AJ31" t="n">
        <v>754930.091866043</v>
      </c>
      <c r="AK31" t="n">
        <v>889948.10046673</v>
      </c>
      <c r="AL31" t="n">
        <v>141835.321326719</v>
      </c>
      <c r="AM31" t="n">
        <v>3527839.2145851</v>
      </c>
      <c r="AN31" t="n">
        <v>931790.864579577</v>
      </c>
      <c r="AO31" t="n">
        <v>695889.747399371</v>
      </c>
      <c r="AP31" t="n">
        <v>14747.9176729495</v>
      </c>
      <c r="AQ31" t="n">
        <v>402823.191102512</v>
      </c>
      <c r="AR31" t="n">
        <v>55029.8955917906</v>
      </c>
      <c r="AS31" t="n">
        <v>1396917.40200033</v>
      </c>
      <c r="AT31" t="n">
        <v>87791.0864763109</v>
      </c>
      <c r="AU31" t="n">
        <v>1373373.70719258</v>
      </c>
      <c r="AV31" t="n">
        <v>2985.39977008971</v>
      </c>
      <c r="AW31" t="n">
        <v>0</v>
      </c>
      <c r="AX31" t="n">
        <v>901784.117669753</v>
      </c>
      <c r="AY31" t="n">
        <v>1072244.10189162</v>
      </c>
      <c r="AZ31" t="n">
        <v>418287.802795512</v>
      </c>
      <c r="BA31" t="n">
        <v>277552.079478148</v>
      </c>
      <c r="BB31" t="n">
        <v>1911680.82051818</v>
      </c>
      <c r="BC31" t="n">
        <v>1306403.28051414</v>
      </c>
      <c r="BD31" t="n">
        <v>8113027.48688883</v>
      </c>
      <c r="BE31" t="n">
        <v>710962.946201899</v>
      </c>
      <c r="BF31" t="n">
        <v>310871.29042316</v>
      </c>
      <c r="BG31" t="n">
        <v>2940974.08966493</v>
      </c>
      <c r="BH31" t="n">
        <v>2525513.56301236</v>
      </c>
      <c r="BI31" t="n">
        <v>1951450.89547544</v>
      </c>
      <c r="BJ31" t="n">
        <v>2550189.36837491</v>
      </c>
      <c r="BK31" t="n">
        <v>20910.3843245941</v>
      </c>
      <c r="BL31" t="n">
        <v>258985.951975262</v>
      </c>
      <c r="BM31" t="n">
        <v>11496391.1487905</v>
      </c>
      <c r="BN31" t="n">
        <v>10983882.0733982</v>
      </c>
      <c r="BO31" t="n">
        <v>1965805.44539693</v>
      </c>
      <c r="BP31" t="n">
        <v>1059253.87605902</v>
      </c>
      <c r="BQ31" t="n">
        <v>5283443.09431423</v>
      </c>
      <c r="BR31" t="n">
        <v>408040.647027186</v>
      </c>
      <c r="BS31" t="n">
        <v>34320804.9789476</v>
      </c>
      <c r="BT31" t="n">
        <v>63536.4960749633</v>
      </c>
      <c r="BU31" t="n">
        <v>62399283.859229</v>
      </c>
      <c r="BV31" t="n">
        <v>0</v>
      </c>
      <c r="BW31" t="n">
        <v>0</v>
      </c>
      <c r="BX31" t="n">
        <v>0</v>
      </c>
      <c r="BY31" t="n">
        <v>0</v>
      </c>
      <c r="BZ31" t="n">
        <v>8703079.60932902</v>
      </c>
      <c r="CA31" t="n">
        <v>529273630.258931</v>
      </c>
      <c r="CB31" t="n">
        <v>-194418782.655505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127</v>
      </c>
      <c r="B32" t="n">
        <v>63289.9686799729</v>
      </c>
      <c r="C32" t="n">
        <v>0</v>
      </c>
      <c r="D32" t="n">
        <v>5493.19971799169</v>
      </c>
      <c r="E32" t="n">
        <v>5463.26810837568</v>
      </c>
      <c r="F32" t="n">
        <v>0</v>
      </c>
      <c r="G32" t="n">
        <v>40105.3475755925</v>
      </c>
      <c r="H32" t="n">
        <v>98568.1270806498</v>
      </c>
      <c r="I32" t="n">
        <v>34358.0136151751</v>
      </c>
      <c r="J32" t="n">
        <v>0</v>
      </c>
      <c r="K32" t="n">
        <v>0</v>
      </c>
      <c r="L32" t="n">
        <v>29906.1653794433</v>
      </c>
      <c r="M32" t="n">
        <v>15327.427122738</v>
      </c>
      <c r="N32" t="n">
        <v>0</v>
      </c>
      <c r="O32" t="n">
        <v>9992.61756363494</v>
      </c>
      <c r="P32" t="n">
        <v>20825.5153565462</v>
      </c>
      <c r="Q32" t="n">
        <v>0</v>
      </c>
      <c r="R32" t="n">
        <v>0</v>
      </c>
      <c r="S32" t="n">
        <v>0</v>
      </c>
      <c r="T32" t="n">
        <v>134295.938659797</v>
      </c>
      <c r="U32" t="n">
        <v>0</v>
      </c>
      <c r="V32" t="n">
        <v>4280.75830524484</v>
      </c>
      <c r="W32" t="n">
        <v>0</v>
      </c>
      <c r="X32" t="n">
        <v>771021.458348925</v>
      </c>
      <c r="Y32" t="n">
        <v>13657.367717187</v>
      </c>
      <c r="Z32" t="n">
        <v>179353.275344887</v>
      </c>
      <c r="AA32" t="n">
        <v>0</v>
      </c>
      <c r="AB32" t="n">
        <v>20307269.8878447</v>
      </c>
      <c r="AC32" t="n">
        <v>698552.171708993</v>
      </c>
      <c r="AD32" t="n">
        <v>417351.030877198</v>
      </c>
      <c r="AE32" t="n">
        <v>997036.593547262</v>
      </c>
      <c r="AF32" t="n">
        <v>13899775.7576619</v>
      </c>
      <c r="AG32" t="n">
        <v>1443.96723607864</v>
      </c>
      <c r="AH32" t="n">
        <v>37307.1943569624</v>
      </c>
      <c r="AI32" t="n">
        <v>0</v>
      </c>
      <c r="AJ32" t="n">
        <v>1133968.42107753</v>
      </c>
      <c r="AK32" t="n">
        <v>64388.1094421197</v>
      </c>
      <c r="AL32" t="n">
        <v>27329.7576091442</v>
      </c>
      <c r="AM32" t="n">
        <v>523037.516245744</v>
      </c>
      <c r="AN32" t="n">
        <v>81093.5510435219</v>
      </c>
      <c r="AO32" t="n">
        <v>1605897.41107311</v>
      </c>
      <c r="AP32" t="n">
        <v>202294.788457008</v>
      </c>
      <c r="AQ32" t="n">
        <v>978295.851005793</v>
      </c>
      <c r="AR32" t="n">
        <v>1089933.73947949</v>
      </c>
      <c r="AS32" t="n">
        <v>1953687.09852512</v>
      </c>
      <c r="AT32" t="n">
        <v>409052.270559699</v>
      </c>
      <c r="AU32" t="n">
        <v>6232200.05170821</v>
      </c>
      <c r="AV32" t="n">
        <v>0</v>
      </c>
      <c r="AW32" t="n">
        <v>0</v>
      </c>
      <c r="AX32" t="n">
        <v>179074.637572941</v>
      </c>
      <c r="AY32" t="n">
        <v>647840.055508492</v>
      </c>
      <c r="AZ32" t="n">
        <v>970418.145087789</v>
      </c>
      <c r="BA32" t="n">
        <v>209184.256291831</v>
      </c>
      <c r="BB32" t="n">
        <v>4901590.45170619</v>
      </c>
      <c r="BC32" t="n">
        <v>1328693.87010822</v>
      </c>
      <c r="BD32" t="n">
        <v>7108778.99958496</v>
      </c>
      <c r="BE32" t="n">
        <v>41735.468064322</v>
      </c>
      <c r="BF32" t="n">
        <v>938916.168848917</v>
      </c>
      <c r="BG32" t="n">
        <v>4515029.05663143</v>
      </c>
      <c r="BH32" t="n">
        <v>6966950.8173232</v>
      </c>
      <c r="BI32" t="n">
        <v>358700.009046674</v>
      </c>
      <c r="BJ32" t="n">
        <v>4537118.37971735</v>
      </c>
      <c r="BK32" t="n">
        <v>253916.923813727</v>
      </c>
      <c r="BL32" t="n">
        <v>382256.30039595</v>
      </c>
      <c r="BM32" t="n">
        <v>5208284.11309122</v>
      </c>
      <c r="BN32" t="n">
        <v>2630793.75128391</v>
      </c>
      <c r="BO32" t="n">
        <v>3121164.28693535</v>
      </c>
      <c r="BP32" t="n">
        <v>1846752.78350343</v>
      </c>
      <c r="BQ32" t="n">
        <v>4783234.60289195</v>
      </c>
      <c r="BR32" t="n">
        <v>169524.973665394</v>
      </c>
      <c r="BS32" t="n">
        <v>28551872.5588166</v>
      </c>
      <c r="BT32" t="n">
        <v>846739.321197656</v>
      </c>
      <c r="BU32" t="n">
        <v>10949952.7728696</v>
      </c>
      <c r="BV32" t="n">
        <v>0</v>
      </c>
      <c r="BW32" t="n">
        <v>0</v>
      </c>
      <c r="BX32" t="n">
        <v>0</v>
      </c>
      <c r="BY32" t="n">
        <v>0</v>
      </c>
      <c r="BZ32" t="n">
        <v>238592.790169747</v>
      </c>
      <c r="CA32" t="n">
        <v>5303835.20048959</v>
      </c>
      <c r="CB32" t="n">
        <v>-16972250.2914973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128</v>
      </c>
      <c r="B33" t="n">
        <v>44311566.4468701</v>
      </c>
      <c r="C33" t="n">
        <v>976782.535722676</v>
      </c>
      <c r="D33" t="n">
        <v>2855302.66696974</v>
      </c>
      <c r="E33" t="n">
        <v>8283659.12499935</v>
      </c>
      <c r="F33" t="n">
        <v>3991260.10294355</v>
      </c>
      <c r="G33" t="n">
        <v>73488999.1998128</v>
      </c>
      <c r="H33" t="n">
        <v>45820389.1980218</v>
      </c>
      <c r="I33" t="n">
        <v>6091761.99062984</v>
      </c>
      <c r="J33" t="n">
        <v>1221076.32046369</v>
      </c>
      <c r="K33" t="n">
        <v>4820916.21523375</v>
      </c>
      <c r="L33" t="n">
        <v>3274937.13585398</v>
      </c>
      <c r="M33" t="n">
        <v>3317335.7148046</v>
      </c>
      <c r="N33" t="n">
        <v>28117.5436476334</v>
      </c>
      <c r="O33" t="n">
        <v>2041977.77247241</v>
      </c>
      <c r="P33" t="n">
        <v>1663700.55752585</v>
      </c>
      <c r="Q33" t="n">
        <v>536737.055486952</v>
      </c>
      <c r="R33" t="n">
        <v>2314137.17177453</v>
      </c>
      <c r="S33" t="n">
        <v>476050.252952923</v>
      </c>
      <c r="T33" t="n">
        <v>4833539.78453957</v>
      </c>
      <c r="U33" t="n">
        <v>498649.27602455</v>
      </c>
      <c r="V33" t="n">
        <v>9166.47169992291</v>
      </c>
      <c r="W33" t="n">
        <v>8062492.76174597</v>
      </c>
      <c r="X33" t="n">
        <v>268084.475785738</v>
      </c>
      <c r="Y33" t="n">
        <v>128080728.899188</v>
      </c>
      <c r="Z33" t="n">
        <v>13283115.6864189</v>
      </c>
      <c r="AA33" t="n">
        <v>2277910.29675663</v>
      </c>
      <c r="AB33" t="n">
        <v>6759166.95659884</v>
      </c>
      <c r="AC33" t="n">
        <v>2206719.77737914</v>
      </c>
      <c r="AD33" t="n">
        <v>853998.396921449</v>
      </c>
      <c r="AE33" t="n">
        <v>1175676.26215357</v>
      </c>
      <c r="AF33" t="n">
        <v>3383223.02380105</v>
      </c>
      <c r="AG33" t="n">
        <v>5229518.16747832</v>
      </c>
      <c r="AH33" t="n">
        <v>20488105.5174397</v>
      </c>
      <c r="AI33" t="n">
        <v>25025193.9110932</v>
      </c>
      <c r="AJ33" t="n">
        <v>59008008.7160665</v>
      </c>
      <c r="AK33" t="n">
        <v>962948.81797991</v>
      </c>
      <c r="AL33" t="n">
        <v>363105.950818357</v>
      </c>
      <c r="AM33" t="n">
        <v>22890832.9866049</v>
      </c>
      <c r="AN33" t="n">
        <v>16003276.8149126</v>
      </c>
      <c r="AO33" t="n">
        <v>147952.944922458</v>
      </c>
      <c r="AP33" t="n">
        <v>19029.1250536728</v>
      </c>
      <c r="AQ33" t="n">
        <v>758626.016198898</v>
      </c>
      <c r="AR33" t="n">
        <v>115912.001184536</v>
      </c>
      <c r="AS33" t="n">
        <v>5189348.08570695</v>
      </c>
      <c r="AT33" t="n">
        <v>621648.149224818</v>
      </c>
      <c r="AU33" t="n">
        <v>79372.5327925529</v>
      </c>
      <c r="AV33" t="n">
        <v>1439557.26357036</v>
      </c>
      <c r="AW33" t="n">
        <v>42412.5515519945</v>
      </c>
      <c r="AX33" t="n">
        <v>4250450.57579288</v>
      </c>
      <c r="AY33" t="n">
        <v>1835391.60443184</v>
      </c>
      <c r="AZ33" t="n">
        <v>61930.4591161581</v>
      </c>
      <c r="BA33" t="n">
        <v>519818.504754819</v>
      </c>
      <c r="BB33" t="n">
        <v>1272830.10013653</v>
      </c>
      <c r="BC33" t="n">
        <v>1052247.84136441</v>
      </c>
      <c r="BD33" t="n">
        <v>7238583.07730749</v>
      </c>
      <c r="BE33" t="n">
        <v>2986359.38162766</v>
      </c>
      <c r="BF33" t="n">
        <v>1424768.78343567</v>
      </c>
      <c r="BG33" t="n">
        <v>1655788.07578872</v>
      </c>
      <c r="BH33" t="n">
        <v>1975418.30968813</v>
      </c>
      <c r="BI33" t="n">
        <v>1748213.76690026</v>
      </c>
      <c r="BJ33" t="n">
        <v>1559652.09052759</v>
      </c>
      <c r="BK33" t="n">
        <v>72322.6712308579</v>
      </c>
      <c r="BL33" t="n">
        <v>1090283.6164492</v>
      </c>
      <c r="BM33" t="n">
        <v>3053404.60534544</v>
      </c>
      <c r="BN33" t="n">
        <v>7910254.35088372</v>
      </c>
      <c r="BO33" t="n">
        <v>4935553.42578505</v>
      </c>
      <c r="BP33" t="n">
        <v>41022619.8320043</v>
      </c>
      <c r="BQ33" t="n">
        <v>3113110.32386941</v>
      </c>
      <c r="BR33" t="n">
        <v>3968817.52211376</v>
      </c>
      <c r="BS33" t="n">
        <v>231919353.336851</v>
      </c>
      <c r="BT33" t="n">
        <v>39218201.8446473</v>
      </c>
      <c r="BU33" t="n">
        <v>491763244.347773</v>
      </c>
      <c r="BV33" t="n">
        <v>0</v>
      </c>
      <c r="BW33" t="n">
        <v>0</v>
      </c>
      <c r="BX33" t="n">
        <v>0</v>
      </c>
      <c r="BY33" t="n">
        <v>0</v>
      </c>
      <c r="BZ33" t="n">
        <v>48998919.9188262</v>
      </c>
      <c r="CA33" t="n">
        <v>3304345751.17796</v>
      </c>
      <c r="CB33" t="n">
        <v>-524900256.317018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129</v>
      </c>
      <c r="B34" t="n">
        <v>64198977.3792892</v>
      </c>
      <c r="C34" t="n">
        <v>4188288.26696304</v>
      </c>
      <c r="D34" t="n">
        <v>3130534.33169894</v>
      </c>
      <c r="E34" t="n">
        <v>3339612.44414288</v>
      </c>
      <c r="F34" t="n">
        <v>2828733.72291233</v>
      </c>
      <c r="G34" t="n">
        <v>1457984.47222761</v>
      </c>
      <c r="H34" t="n">
        <v>11218013.3352837</v>
      </c>
      <c r="I34" t="n">
        <v>12300198.3797109</v>
      </c>
      <c r="J34" t="n">
        <v>6842018.13790977</v>
      </c>
      <c r="K34" t="n">
        <v>3941518.02381308</v>
      </c>
      <c r="L34" t="n">
        <v>7801860.78593359</v>
      </c>
      <c r="M34" t="n">
        <v>4204595.96495259</v>
      </c>
      <c r="N34" t="n">
        <v>238734.310751912</v>
      </c>
      <c r="O34" t="n">
        <v>5752079.76866124</v>
      </c>
      <c r="P34" t="n">
        <v>25734509.3191732</v>
      </c>
      <c r="Q34" t="n">
        <v>1936053.09984927</v>
      </c>
      <c r="R34" t="n">
        <v>10022704.7062408</v>
      </c>
      <c r="S34" t="n">
        <v>3381921.31110688</v>
      </c>
      <c r="T34" t="n">
        <v>15140221.0251403</v>
      </c>
      <c r="U34" t="n">
        <v>57731483.1279793</v>
      </c>
      <c r="V34" t="n">
        <v>190152.782973068</v>
      </c>
      <c r="W34" t="n">
        <v>24568846.5124943</v>
      </c>
      <c r="X34" t="n">
        <v>642459.039994274</v>
      </c>
      <c r="Y34" t="n">
        <v>112410610.048345</v>
      </c>
      <c r="Z34" t="n">
        <v>237965772.98471</v>
      </c>
      <c r="AA34" t="n">
        <v>169184328.318244</v>
      </c>
      <c r="AB34" t="n">
        <v>2491588.33411484</v>
      </c>
      <c r="AC34" t="n">
        <v>240612.937362208</v>
      </c>
      <c r="AD34" t="n">
        <v>104863.200863275</v>
      </c>
      <c r="AE34" t="n">
        <v>220509.654637395</v>
      </c>
      <c r="AF34" t="n">
        <v>552884.740224632</v>
      </c>
      <c r="AG34" t="n">
        <v>64.4841859182296</v>
      </c>
      <c r="AH34" t="n">
        <v>408221.607412529</v>
      </c>
      <c r="AI34" t="n">
        <v>28444.0592303952</v>
      </c>
      <c r="AJ34" t="n">
        <v>672833.780907299</v>
      </c>
      <c r="AK34" t="n">
        <v>5012.49906392584</v>
      </c>
      <c r="AL34" t="n">
        <v>6262.24349997878</v>
      </c>
      <c r="AM34" t="n">
        <v>109244.091289806</v>
      </c>
      <c r="AN34" t="n">
        <v>1082269.74933513</v>
      </c>
      <c r="AO34" t="n">
        <v>49403.6242259552</v>
      </c>
      <c r="AP34" t="n">
        <v>72514.1367551243</v>
      </c>
      <c r="AQ34" t="n">
        <v>1388881.02931193</v>
      </c>
      <c r="AR34" t="n">
        <v>76925.4041368386</v>
      </c>
      <c r="AS34" t="n">
        <v>56629.1119709679</v>
      </c>
      <c r="AT34" t="n">
        <v>14035.7282488444</v>
      </c>
      <c r="AU34" t="n">
        <v>65713.4785082546</v>
      </c>
      <c r="AV34" t="n">
        <v>0</v>
      </c>
      <c r="AW34" t="n">
        <v>302265.518632703</v>
      </c>
      <c r="AX34" t="n">
        <v>12180692.4757805</v>
      </c>
      <c r="AY34" t="n">
        <v>54971.3041446495</v>
      </c>
      <c r="AZ34" t="n">
        <v>112066.793664193</v>
      </c>
      <c r="BA34" t="n">
        <v>100249.421373806</v>
      </c>
      <c r="BB34" t="n">
        <v>29786890.8470767</v>
      </c>
      <c r="BC34" t="n">
        <v>2421242.09351755</v>
      </c>
      <c r="BD34" t="n">
        <v>10703004.1486771</v>
      </c>
      <c r="BE34" t="n">
        <v>2769884.86051385</v>
      </c>
      <c r="BF34" t="n">
        <v>557935.131169079</v>
      </c>
      <c r="BG34" t="n">
        <v>65734417.9349151</v>
      </c>
      <c r="BH34" t="n">
        <v>7243977.55094294</v>
      </c>
      <c r="BI34" t="n">
        <v>2412865.67695528</v>
      </c>
      <c r="BJ34" t="n">
        <v>709389.732192789</v>
      </c>
      <c r="BK34" t="n">
        <v>28418.5378640243</v>
      </c>
      <c r="BL34" t="n">
        <v>607635.813639329</v>
      </c>
      <c r="BM34" t="n">
        <v>193249.291583444</v>
      </c>
      <c r="BN34" t="n">
        <v>3270623.50398762</v>
      </c>
      <c r="BO34" t="n">
        <v>7952613.14972464</v>
      </c>
      <c r="BP34" t="n">
        <v>11637448.0267649</v>
      </c>
      <c r="BQ34" t="n">
        <v>5199320.53012048</v>
      </c>
      <c r="BR34" t="n">
        <v>231069.193850045</v>
      </c>
      <c r="BS34" t="n">
        <v>75784908.5986739</v>
      </c>
      <c r="BT34" t="n">
        <v>1939967.23709138</v>
      </c>
      <c r="BU34" t="n">
        <v>1045446416.8505</v>
      </c>
      <c r="BV34" t="n">
        <v>0</v>
      </c>
      <c r="BW34" t="n">
        <v>6569866.95242316</v>
      </c>
      <c r="BX34" t="n">
        <v>0</v>
      </c>
      <c r="BY34" t="n">
        <v>0</v>
      </c>
      <c r="BZ34" t="n">
        <v>45595907.3478103</v>
      </c>
      <c r="CA34" t="n">
        <v>764915028.128826</v>
      </c>
      <c r="CB34" t="n">
        <v>-1773472465.94871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130</v>
      </c>
      <c r="B35" t="n">
        <v>8069785.69301097</v>
      </c>
      <c r="C35" t="n">
        <v>168882.751742275</v>
      </c>
      <c r="D35" t="n">
        <v>58527.0808027166</v>
      </c>
      <c r="E35" t="n">
        <v>4327849.13506608</v>
      </c>
      <c r="F35" t="n">
        <v>2515111.61482657</v>
      </c>
      <c r="G35" t="n">
        <v>95266.4671510133</v>
      </c>
      <c r="H35" t="n">
        <v>45393714.1816194</v>
      </c>
      <c r="I35" t="n">
        <v>9412665.77712819</v>
      </c>
      <c r="J35" t="n">
        <v>2584251.27036636</v>
      </c>
      <c r="K35" t="n">
        <v>2336210.5682252</v>
      </c>
      <c r="L35" t="n">
        <v>4702529.21468082</v>
      </c>
      <c r="M35" t="n">
        <v>36476245.6976264</v>
      </c>
      <c r="N35" t="n">
        <v>439956.116217399</v>
      </c>
      <c r="O35" t="n">
        <v>8531995.84205893</v>
      </c>
      <c r="P35" t="n">
        <v>106429844.716649</v>
      </c>
      <c r="Q35" t="n">
        <v>8311726.90144475</v>
      </c>
      <c r="R35" t="n">
        <v>32084033.9586509</v>
      </c>
      <c r="S35" t="n">
        <v>3236505.06560788</v>
      </c>
      <c r="T35" t="n">
        <v>37238078.1343299</v>
      </c>
      <c r="U35" t="n">
        <v>2332848.71692657</v>
      </c>
      <c r="V35" t="n">
        <v>240962.274166768</v>
      </c>
      <c r="W35" t="n">
        <v>10118660.8921608</v>
      </c>
      <c r="X35" t="n">
        <v>1620025.77488382</v>
      </c>
      <c r="Y35" t="n">
        <v>4118474.40927087</v>
      </c>
      <c r="Z35" t="n">
        <v>10476076.132007</v>
      </c>
      <c r="AA35" t="n">
        <v>61068298.7949653</v>
      </c>
      <c r="AB35" t="n">
        <v>29185054.7551003</v>
      </c>
      <c r="AC35" t="n">
        <v>2881893.24750133</v>
      </c>
      <c r="AD35" t="n">
        <v>2771111.56787345</v>
      </c>
      <c r="AE35" t="n">
        <v>2019227.01905343</v>
      </c>
      <c r="AF35" t="n">
        <v>7758080.67956837</v>
      </c>
      <c r="AG35" t="n">
        <v>194777.295804557</v>
      </c>
      <c r="AH35" t="n">
        <v>9884.56507322017</v>
      </c>
      <c r="AI35" t="n">
        <v>0</v>
      </c>
      <c r="AJ35" t="n">
        <v>4996574.2877324</v>
      </c>
      <c r="AK35" t="n">
        <v>49658.8441057187</v>
      </c>
      <c r="AL35" t="n">
        <v>456796.838432131</v>
      </c>
      <c r="AM35" t="n">
        <v>2667659.65506107</v>
      </c>
      <c r="AN35" t="n">
        <v>1747942.05192584</v>
      </c>
      <c r="AO35" t="n">
        <v>109025.669597962</v>
      </c>
      <c r="AP35" t="n">
        <v>21028.4731822724</v>
      </c>
      <c r="AQ35" t="n">
        <v>5914446.04277185</v>
      </c>
      <c r="AR35" t="n">
        <v>138931.42393335</v>
      </c>
      <c r="AS35" t="n">
        <v>67645.1446172902</v>
      </c>
      <c r="AT35" t="n">
        <v>26250.1895324503</v>
      </c>
      <c r="AU35" t="n">
        <v>1532178.64086327</v>
      </c>
      <c r="AV35" t="n">
        <v>0</v>
      </c>
      <c r="AW35" t="n">
        <v>16184.9105722911</v>
      </c>
      <c r="AX35" t="n">
        <v>809548.275675495</v>
      </c>
      <c r="AY35" t="n">
        <v>3243719.23524791</v>
      </c>
      <c r="AZ35" t="n">
        <v>31367.9897921625</v>
      </c>
      <c r="BA35" t="n">
        <v>825486.565199766</v>
      </c>
      <c r="BB35" t="n">
        <v>5132444.59267848</v>
      </c>
      <c r="BC35" t="n">
        <v>135201.447087742</v>
      </c>
      <c r="BD35" t="n">
        <v>3492655.82490454</v>
      </c>
      <c r="BE35" t="n">
        <v>789284.677390602</v>
      </c>
      <c r="BF35" t="n">
        <v>924491.086751986</v>
      </c>
      <c r="BG35" t="n">
        <v>16179901.3530908</v>
      </c>
      <c r="BH35" t="n">
        <v>7740755.74823436</v>
      </c>
      <c r="BI35" t="n">
        <v>3174328.07743666</v>
      </c>
      <c r="BJ35" t="n">
        <v>3321296.22223059</v>
      </c>
      <c r="BK35" t="n">
        <v>13418.0905768817</v>
      </c>
      <c r="BL35" t="n">
        <v>393898.039253915</v>
      </c>
      <c r="BM35" t="n">
        <v>492381.713807447</v>
      </c>
      <c r="BN35" t="n">
        <v>12382429.7241472</v>
      </c>
      <c r="BO35" t="n">
        <v>6758681.97262799</v>
      </c>
      <c r="BP35" t="n">
        <v>9935987.91932204</v>
      </c>
      <c r="BQ35" t="n">
        <v>2989221.29939422</v>
      </c>
      <c r="BR35" t="n">
        <v>143133.178171671</v>
      </c>
      <c r="BS35" t="n">
        <v>42873946.9254121</v>
      </c>
      <c r="BT35" t="n">
        <v>4793206.81353929</v>
      </c>
      <c r="BU35" t="n">
        <v>180937856.154297</v>
      </c>
      <c r="BV35" t="n">
        <v>0</v>
      </c>
      <c r="BW35" t="n">
        <v>1016701.85962616</v>
      </c>
      <c r="BX35" t="n">
        <v>0</v>
      </c>
      <c r="BY35" t="n">
        <v>65340.2362859093</v>
      </c>
      <c r="BZ35" t="n">
        <v>13672011.0165871</v>
      </c>
      <c r="CA35" t="n">
        <v>65562232.7864164</v>
      </c>
      <c r="CB35" t="n">
        <v>-442683718.534898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6926.78070978415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131</v>
      </c>
      <c r="B36" t="n">
        <v>128429108.352522</v>
      </c>
      <c r="C36" t="n">
        <v>4687249.58992175</v>
      </c>
      <c r="D36" t="n">
        <v>3897689.1092298</v>
      </c>
      <c r="E36" t="n">
        <v>7281100.61022331</v>
      </c>
      <c r="F36" t="n">
        <v>4920686.75996228</v>
      </c>
      <c r="G36" t="n">
        <v>18590141.2454135</v>
      </c>
      <c r="H36" t="n">
        <v>101574505.191539</v>
      </c>
      <c r="I36" t="n">
        <v>52176482.3636186</v>
      </c>
      <c r="J36" t="n">
        <v>10976020.6934245</v>
      </c>
      <c r="K36" t="n">
        <v>63529611.3503055</v>
      </c>
      <c r="L36" t="n">
        <v>26366017.6379992</v>
      </c>
      <c r="M36" t="n">
        <v>66984935.3090032</v>
      </c>
      <c r="N36" t="n">
        <v>1542101.60761942</v>
      </c>
      <c r="O36" t="n">
        <v>30532955.2027451</v>
      </c>
      <c r="P36" t="n">
        <v>217532434.868943</v>
      </c>
      <c r="Q36" t="n">
        <v>27111818.0176989</v>
      </c>
      <c r="R36" t="n">
        <v>49037784.7483822</v>
      </c>
      <c r="S36" t="n">
        <v>4835158.82430677</v>
      </c>
      <c r="T36" t="n">
        <v>130844338.420915</v>
      </c>
      <c r="U36" t="n">
        <v>15549649.9002189</v>
      </c>
      <c r="V36" t="n">
        <v>2583847.95015476</v>
      </c>
      <c r="W36" t="n">
        <v>40422259.1267395</v>
      </c>
      <c r="X36" t="n">
        <v>1716594.6705871</v>
      </c>
      <c r="Y36" t="n">
        <v>107278535.615326</v>
      </c>
      <c r="Z36" t="n">
        <v>42873267.3168107</v>
      </c>
      <c r="AA36" t="n">
        <v>47611586.9238675</v>
      </c>
      <c r="AB36" t="n">
        <v>75264521.9066374</v>
      </c>
      <c r="AC36" t="n">
        <v>9521421.63794097</v>
      </c>
      <c r="AD36" t="n">
        <v>4332158.69441757</v>
      </c>
      <c r="AE36" t="n">
        <v>10242636.0338839</v>
      </c>
      <c r="AF36" t="n">
        <v>29702207.5947752</v>
      </c>
      <c r="AG36" t="n">
        <v>463243.500380415</v>
      </c>
      <c r="AH36" t="n">
        <v>5916795.76636626</v>
      </c>
      <c r="AI36" t="n">
        <v>5968614.11498536</v>
      </c>
      <c r="AJ36" t="n">
        <v>29628530.8481131</v>
      </c>
      <c r="AK36" t="n">
        <v>554924.678087186</v>
      </c>
      <c r="AL36" t="n">
        <v>859033.504354619</v>
      </c>
      <c r="AM36" t="n">
        <v>8795098.03804344</v>
      </c>
      <c r="AN36" t="n">
        <v>8404028.40283511</v>
      </c>
      <c r="AO36" t="n">
        <v>3053144.19535374</v>
      </c>
      <c r="AP36" t="n">
        <v>71082.524617978</v>
      </c>
      <c r="AQ36" t="n">
        <v>15181650.529221</v>
      </c>
      <c r="AR36" t="n">
        <v>685730.701397618</v>
      </c>
      <c r="AS36" t="n">
        <v>2751733.90343587</v>
      </c>
      <c r="AT36" t="n">
        <v>362633.660689788</v>
      </c>
      <c r="AU36" t="n">
        <v>1199189.50156144</v>
      </c>
      <c r="AV36" t="n">
        <v>1088340.33861258</v>
      </c>
      <c r="AW36" t="n">
        <v>819788.205138141</v>
      </c>
      <c r="AX36" t="n">
        <v>4700650.94836704</v>
      </c>
      <c r="AY36" t="n">
        <v>15653498.9227838</v>
      </c>
      <c r="AZ36" t="n">
        <v>605276.437016289</v>
      </c>
      <c r="BA36" t="n">
        <v>1860357.31410571</v>
      </c>
      <c r="BB36" t="n">
        <v>11384844.4183262</v>
      </c>
      <c r="BC36" t="n">
        <v>3678128.91540074</v>
      </c>
      <c r="BD36" t="n">
        <v>16316038.0883</v>
      </c>
      <c r="BE36" t="n">
        <v>5602369.4811092</v>
      </c>
      <c r="BF36" t="n">
        <v>2729831.73502962</v>
      </c>
      <c r="BG36" t="n">
        <v>46694274.4825051</v>
      </c>
      <c r="BH36" t="n">
        <v>21973456.4599106</v>
      </c>
      <c r="BI36" t="n">
        <v>6790835.64852793</v>
      </c>
      <c r="BJ36" t="n">
        <v>9410065.28955738</v>
      </c>
      <c r="BK36" t="n">
        <v>167458.632040314</v>
      </c>
      <c r="BL36" t="n">
        <v>4465599.22143766</v>
      </c>
      <c r="BM36" t="n">
        <v>10507281.7668718</v>
      </c>
      <c r="BN36" t="n">
        <v>45130171.5013349</v>
      </c>
      <c r="BO36" t="n">
        <v>19406823.8715155</v>
      </c>
      <c r="BP36" t="n">
        <v>31891629.3285744</v>
      </c>
      <c r="BQ36" t="n">
        <v>8753259.55776404</v>
      </c>
      <c r="BR36" t="n">
        <v>3546728.49524708</v>
      </c>
      <c r="BS36" t="n">
        <v>88481868.5951307</v>
      </c>
      <c r="BT36" t="n">
        <v>17948301.1580785</v>
      </c>
      <c r="BU36" t="n">
        <v>1183693626.37726</v>
      </c>
      <c r="BV36" t="n">
        <v>127722.738775453</v>
      </c>
      <c r="BW36" t="n">
        <v>294931000.177185</v>
      </c>
      <c r="BX36" t="n">
        <v>34046118.1692032</v>
      </c>
      <c r="BY36" t="n">
        <v>8063109.76442033</v>
      </c>
      <c r="BZ36" t="n">
        <v>45366134.330435</v>
      </c>
      <c r="CA36" t="n">
        <v>1025397446.19358</v>
      </c>
      <c r="CB36" t="n">
        <v>381950284.673889</v>
      </c>
      <c r="CC36" t="n">
        <v>0</v>
      </c>
      <c r="CD36" t="n">
        <v>0</v>
      </c>
      <c r="CE36" t="n">
        <v>62962297.8501705</v>
      </c>
      <c r="CF36" t="n">
        <v>5567856.15026535</v>
      </c>
      <c r="CG36" t="n">
        <v>0</v>
      </c>
      <c r="CH36" t="n">
        <v>0</v>
      </c>
      <c r="CI36" t="n">
        <v>46771.0391037399</v>
      </c>
      <c r="CJ36" t="n">
        <v>0</v>
      </c>
      <c r="CK36" t="n">
        <v>0</v>
      </c>
      <c r="CL36" t="n">
        <v>0</v>
      </c>
      <c r="CM36" t="n">
        <v>17674845.1922412</v>
      </c>
      <c r="CN36" t="n">
        <v>4015557.46435597</v>
      </c>
    </row>
    <row r="37">
      <c r="A37" t="s">
        <v>132</v>
      </c>
      <c r="B37" t="n">
        <v>151551.822541186</v>
      </c>
      <c r="C37" t="n">
        <v>15399.7835922816</v>
      </c>
      <c r="D37" t="n">
        <v>306295.937191638</v>
      </c>
      <c r="E37" t="n">
        <v>1066194.42028692</v>
      </c>
      <c r="F37" t="n">
        <v>786951.73657615</v>
      </c>
      <c r="G37" t="n">
        <v>143113.306549995</v>
      </c>
      <c r="H37" t="n">
        <v>8662598.60077926</v>
      </c>
      <c r="I37" t="n">
        <v>5861910.70994267</v>
      </c>
      <c r="J37" t="n">
        <v>887990.227219946</v>
      </c>
      <c r="K37" t="n">
        <v>981619.762373866</v>
      </c>
      <c r="L37" t="n">
        <v>1796910.17075484</v>
      </c>
      <c r="M37" t="n">
        <v>16314257.3158777</v>
      </c>
      <c r="N37" t="n">
        <v>64000.6909830264</v>
      </c>
      <c r="O37" t="n">
        <v>35891.9296843912</v>
      </c>
      <c r="P37" t="n">
        <v>40355687.3049005</v>
      </c>
      <c r="Q37" t="n">
        <v>4176665.9628762</v>
      </c>
      <c r="R37" t="n">
        <v>3311548.83712885</v>
      </c>
      <c r="S37" t="n">
        <v>487413.842368002</v>
      </c>
      <c r="T37" t="n">
        <v>7917840.29299699</v>
      </c>
      <c r="U37" t="n">
        <v>314354.234961415</v>
      </c>
      <c r="V37" t="n">
        <v>0</v>
      </c>
      <c r="W37" t="n">
        <v>3450358.76001939</v>
      </c>
      <c r="X37" t="n">
        <v>55328.5796899589</v>
      </c>
      <c r="Y37" t="n">
        <v>49055.1428249433</v>
      </c>
      <c r="Z37" t="n">
        <v>1275548.93232773</v>
      </c>
      <c r="AA37" t="n">
        <v>1327040.9547014</v>
      </c>
      <c r="AB37" t="n">
        <v>483477.689560088</v>
      </c>
      <c r="AC37" t="n">
        <v>9293701.73871635</v>
      </c>
      <c r="AD37" t="n">
        <v>3166195.12042902</v>
      </c>
      <c r="AE37" t="n">
        <v>1563254.75291968</v>
      </c>
      <c r="AF37" t="n">
        <v>7873692.76880208</v>
      </c>
      <c r="AG37" t="n">
        <v>0</v>
      </c>
      <c r="AH37" t="n">
        <v>71467.5442774867</v>
      </c>
      <c r="AI37" t="n">
        <v>0</v>
      </c>
      <c r="AJ37" t="n">
        <v>14347044.2227228</v>
      </c>
      <c r="AK37" t="n">
        <v>8259.71731448763</v>
      </c>
      <c r="AL37" t="n">
        <v>5117.06803053278</v>
      </c>
      <c r="AM37" t="n">
        <v>63549.8184191705</v>
      </c>
      <c r="AN37" t="n">
        <v>601433.828540275</v>
      </c>
      <c r="AO37" t="n">
        <v>54863.553402076</v>
      </c>
      <c r="AP37" t="n">
        <v>22857.3041956014</v>
      </c>
      <c r="AQ37" t="n">
        <v>285017.614724993</v>
      </c>
      <c r="AR37" t="n">
        <v>7450.47970590456</v>
      </c>
      <c r="AS37" t="n">
        <v>181478.173571016</v>
      </c>
      <c r="AT37" t="n">
        <v>4979.75128122424</v>
      </c>
      <c r="AU37" t="n">
        <v>52643.2656474453</v>
      </c>
      <c r="AV37" t="n">
        <v>0</v>
      </c>
      <c r="AW37" t="n">
        <v>385584.789335422</v>
      </c>
      <c r="AX37" t="n">
        <v>680880.708569648</v>
      </c>
      <c r="AY37" t="n">
        <v>2184025.01022132</v>
      </c>
      <c r="AZ37" t="n">
        <v>0</v>
      </c>
      <c r="BA37" t="n">
        <v>38703.6968536564</v>
      </c>
      <c r="BB37" t="n">
        <v>1043066.23253262</v>
      </c>
      <c r="BC37" t="n">
        <v>0</v>
      </c>
      <c r="BD37" t="n">
        <v>12237631.2474438</v>
      </c>
      <c r="BE37" t="n">
        <v>373449.08806833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4234.60418905551</v>
      </c>
      <c r="BL37" t="n">
        <v>80453.7973438778</v>
      </c>
      <c r="BM37" t="n">
        <v>314671.996961937</v>
      </c>
      <c r="BN37" t="n">
        <v>801476.79841365</v>
      </c>
      <c r="BO37" t="n">
        <v>18273936.5175029</v>
      </c>
      <c r="BP37" t="n">
        <v>0</v>
      </c>
      <c r="BQ37" t="n">
        <v>0</v>
      </c>
      <c r="BR37" t="n">
        <v>0</v>
      </c>
      <c r="BS37" t="n">
        <v>0</v>
      </c>
      <c r="BT37" t="n">
        <v>15154.9739337838</v>
      </c>
      <c r="BU37" t="n">
        <v>2226857148.51947</v>
      </c>
      <c r="BV37" t="n">
        <v>0</v>
      </c>
      <c r="BW37" t="n">
        <v>229673421.092943</v>
      </c>
      <c r="BX37" t="n">
        <v>0</v>
      </c>
      <c r="BY37" t="n">
        <v>50989.9169619205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133</v>
      </c>
      <c r="B38" t="n">
        <v>582891.625158407</v>
      </c>
      <c r="C38" t="n">
        <v>0</v>
      </c>
      <c r="D38" t="n">
        <v>1879.1161790898</v>
      </c>
      <c r="E38" t="n">
        <v>0</v>
      </c>
      <c r="F38" t="n">
        <v>0</v>
      </c>
      <c r="G38" t="n">
        <v>828012.702182113</v>
      </c>
      <c r="H38" t="n">
        <v>866674.536889835</v>
      </c>
      <c r="I38" t="n">
        <v>0</v>
      </c>
      <c r="J38" t="n">
        <v>13253.5854808947</v>
      </c>
      <c r="K38" t="n">
        <v>0</v>
      </c>
      <c r="L38" t="n">
        <v>10386.7639928026</v>
      </c>
      <c r="M38" t="n">
        <v>137634.341809992</v>
      </c>
      <c r="N38" t="n">
        <v>463.773123065409</v>
      </c>
      <c r="O38" t="n">
        <v>23927.9531229275</v>
      </c>
      <c r="P38" t="n">
        <v>99736.0205249318</v>
      </c>
      <c r="Q38" t="n">
        <v>0</v>
      </c>
      <c r="R38" t="n">
        <v>170698.393666435</v>
      </c>
      <c r="S38" t="n">
        <v>21794.9279107643</v>
      </c>
      <c r="T38" t="n">
        <v>82171.8043750614</v>
      </c>
      <c r="U38" t="n">
        <v>0</v>
      </c>
      <c r="V38" t="n">
        <v>0</v>
      </c>
      <c r="W38" t="n">
        <v>11166.2095793508</v>
      </c>
      <c r="X38" t="n">
        <v>23472.7307775583</v>
      </c>
      <c r="Y38" t="n">
        <v>65406.8570999244</v>
      </c>
      <c r="Z38" t="n">
        <v>146846.491080619</v>
      </c>
      <c r="AA38" t="n">
        <v>9547.05722806761</v>
      </c>
      <c r="AB38" t="n">
        <v>38678.215164807</v>
      </c>
      <c r="AC38" t="n">
        <v>93789.6505742017</v>
      </c>
      <c r="AD38" t="n">
        <v>131675.411435611</v>
      </c>
      <c r="AE38" t="n">
        <v>124507.015719267</v>
      </c>
      <c r="AF38" t="n">
        <v>284070.484207761</v>
      </c>
      <c r="AG38" t="n">
        <v>0</v>
      </c>
      <c r="AH38" t="n">
        <v>35733.7721387433</v>
      </c>
      <c r="AI38" t="n">
        <v>0</v>
      </c>
      <c r="AJ38" t="n">
        <v>2398825.79403925</v>
      </c>
      <c r="AK38" t="n">
        <v>38545.3474676089</v>
      </c>
      <c r="AL38" t="n">
        <v>0</v>
      </c>
      <c r="AM38" t="n">
        <v>196426.711477436</v>
      </c>
      <c r="AN38" t="n">
        <v>0</v>
      </c>
      <c r="AO38" t="n">
        <v>1119.66435514441</v>
      </c>
      <c r="AP38" t="n">
        <v>0</v>
      </c>
      <c r="AQ38" t="n">
        <v>0</v>
      </c>
      <c r="AR38" t="n">
        <v>1241.74661765076</v>
      </c>
      <c r="AS38" t="n">
        <v>16498.0157791833</v>
      </c>
      <c r="AT38" t="n">
        <v>2134.17912052467</v>
      </c>
      <c r="AU38" t="n">
        <v>3760.2332605318</v>
      </c>
      <c r="AV38" t="n">
        <v>0</v>
      </c>
      <c r="AW38" t="n">
        <v>303794.07644609</v>
      </c>
      <c r="AX38" t="n">
        <v>59678.7872053077</v>
      </c>
      <c r="AY38" t="n">
        <v>11658.4964958433</v>
      </c>
      <c r="AZ38" t="n">
        <v>0</v>
      </c>
      <c r="BA38" t="n">
        <v>1548.14787414626</v>
      </c>
      <c r="BB38" t="n">
        <v>10472.5525354681</v>
      </c>
      <c r="BC38" t="n">
        <v>0</v>
      </c>
      <c r="BD38" t="n">
        <v>345435.582822086</v>
      </c>
      <c r="BE38" t="n">
        <v>0</v>
      </c>
      <c r="BF38" t="n">
        <v>29243.1154473711</v>
      </c>
      <c r="BG38" t="n">
        <v>13005.5689649231</v>
      </c>
      <c r="BH38" t="n">
        <v>22230.709447361</v>
      </c>
      <c r="BI38" t="n">
        <v>6669.27267224856</v>
      </c>
      <c r="BJ38" t="n">
        <v>5973.96939497903</v>
      </c>
      <c r="BK38" t="n">
        <v>6775.36670248881</v>
      </c>
      <c r="BL38" t="n">
        <v>75984.1419358846</v>
      </c>
      <c r="BM38" t="n">
        <v>352814.057199747</v>
      </c>
      <c r="BN38" t="n">
        <v>8250861.92475448</v>
      </c>
      <c r="BO38" t="n">
        <v>154461.10190347</v>
      </c>
      <c r="BP38" t="n">
        <v>0</v>
      </c>
      <c r="BQ38" t="n">
        <v>0</v>
      </c>
      <c r="BR38" t="n">
        <v>0</v>
      </c>
      <c r="BS38" t="n">
        <v>169676.227524141</v>
      </c>
      <c r="BT38" t="n">
        <v>0</v>
      </c>
      <c r="BU38" t="n">
        <v>2048425596.23736</v>
      </c>
      <c r="BV38" t="n">
        <v>0</v>
      </c>
      <c r="BW38" t="n">
        <v>1423538.98499052</v>
      </c>
      <c r="BX38" t="n">
        <v>6031.94485165476</v>
      </c>
      <c r="BY38" t="n">
        <v>66285.6549926337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134</v>
      </c>
      <c r="B39" t="n">
        <v>20942.2222544888</v>
      </c>
      <c r="C39" t="n">
        <v>0</v>
      </c>
      <c r="D39" t="n">
        <v>255.731751877455</v>
      </c>
      <c r="E39" t="n">
        <v>623.128855737789</v>
      </c>
      <c r="F39" t="n">
        <v>418.816833593175</v>
      </c>
      <c r="G39" t="n">
        <v>28658.28666728</v>
      </c>
      <c r="H39" t="n">
        <v>87754.8576879549</v>
      </c>
      <c r="I39" t="n">
        <v>4478.63163528695</v>
      </c>
      <c r="J39" t="n">
        <v>992.035228726887</v>
      </c>
      <c r="K39" t="n">
        <v>607.227783472203</v>
      </c>
      <c r="L39" t="n">
        <v>1554.90539645827</v>
      </c>
      <c r="M39" t="n">
        <v>17856.7579056464</v>
      </c>
      <c r="N39" t="n">
        <v>75.7386996429204</v>
      </c>
      <c r="O39" t="n">
        <v>1791.01515461514</v>
      </c>
      <c r="P39" t="n">
        <v>28673.4384355315</v>
      </c>
      <c r="Q39" t="n">
        <v>2204.03398063771</v>
      </c>
      <c r="R39" t="n">
        <v>14402.9729716873</v>
      </c>
      <c r="S39" t="n">
        <v>1752.69815824002</v>
      </c>
      <c r="T39" t="n">
        <v>9824.96294860427</v>
      </c>
      <c r="U39" t="n">
        <v>754.957790119361</v>
      </c>
      <c r="V39" t="n">
        <v>0</v>
      </c>
      <c r="W39" t="n">
        <v>2583.36468381657</v>
      </c>
      <c r="X39" t="n">
        <v>1072.41890631044</v>
      </c>
      <c r="Y39" t="n">
        <v>1780.26354486118</v>
      </c>
      <c r="Z39" t="n">
        <v>5760.25558971086</v>
      </c>
      <c r="AA39" t="n">
        <v>1559.12808204801</v>
      </c>
      <c r="AB39" t="n">
        <v>1973.91621530428</v>
      </c>
      <c r="AC39" t="n">
        <v>10211.1798796529</v>
      </c>
      <c r="AD39" t="n">
        <v>3746.88925312778</v>
      </c>
      <c r="AE39" t="n">
        <v>2070.97578731455</v>
      </c>
      <c r="AF39" t="n">
        <v>9748.93760927616</v>
      </c>
      <c r="AG39" t="n">
        <v>0</v>
      </c>
      <c r="AH39" t="n">
        <v>1458.91886599428</v>
      </c>
      <c r="AI39" t="n">
        <v>174.071551381565</v>
      </c>
      <c r="AJ39" t="n">
        <v>92783.3162307073</v>
      </c>
      <c r="AK39" t="n">
        <v>1348.89284804281</v>
      </c>
      <c r="AL39" t="n">
        <v>69.6389497619099</v>
      </c>
      <c r="AM39" t="n">
        <v>7076.11952654084</v>
      </c>
      <c r="AN39" t="n">
        <v>314.807830163969</v>
      </c>
      <c r="AO39" t="n">
        <v>76.1884044855901</v>
      </c>
      <c r="AP39" t="n">
        <v>16.8145133224666</v>
      </c>
      <c r="AQ39" t="n">
        <v>161.618652473946</v>
      </c>
      <c r="AR39" t="n">
        <v>42.2477920010178</v>
      </c>
      <c r="AS39" t="n">
        <v>841.96493370012</v>
      </c>
      <c r="AT39" t="n">
        <v>77.4516404942985</v>
      </c>
      <c r="AU39" t="n">
        <v>153.520742871171</v>
      </c>
      <c r="AV39" t="n">
        <v>0</v>
      </c>
      <c r="AW39" t="n">
        <v>21466.9697319737</v>
      </c>
      <c r="AX39" t="n">
        <v>5795.99473549131</v>
      </c>
      <c r="AY39" t="n">
        <v>2485.70835262594</v>
      </c>
      <c r="AZ39" t="n">
        <v>49.3678282938862</v>
      </c>
      <c r="BA39" t="n">
        <v>84.2759106491329</v>
      </c>
      <c r="BB39" t="n">
        <v>1083.17134385171</v>
      </c>
      <c r="BC39" t="n">
        <v>0</v>
      </c>
      <c r="BD39" t="n">
        <v>20559.4112511416</v>
      </c>
      <c r="BE39" t="n">
        <v>234.568841683233</v>
      </c>
      <c r="BF39" t="n">
        <v>2255.18579528284</v>
      </c>
      <c r="BG39" t="n">
        <v>884.973737274147</v>
      </c>
      <c r="BH39" t="n">
        <v>484.065718615103</v>
      </c>
      <c r="BI39" t="n">
        <v>90.7631365852369</v>
      </c>
      <c r="BJ39" t="n">
        <v>243.901948592708</v>
      </c>
      <c r="BK39" t="n">
        <v>46.1034931134196</v>
      </c>
      <c r="BL39" t="n">
        <v>425.79749690081</v>
      </c>
      <c r="BM39" t="n">
        <v>7915.98592460204</v>
      </c>
      <c r="BN39" t="n">
        <v>24774.2141115477</v>
      </c>
      <c r="BO39" t="n">
        <v>20778.2958674226</v>
      </c>
      <c r="BP39" t="n">
        <v>0</v>
      </c>
      <c r="BQ39" t="n">
        <v>317.413312733062</v>
      </c>
      <c r="BR39" t="n">
        <v>0</v>
      </c>
      <c r="BS39" t="n">
        <v>2540.06427806377</v>
      </c>
      <c r="BT39" t="n">
        <v>0</v>
      </c>
      <c r="BU39" t="n">
        <v>21369700.0562005</v>
      </c>
      <c r="BV39" t="n">
        <v>0</v>
      </c>
      <c r="BW39" t="n">
        <v>367078.113630128</v>
      </c>
      <c r="BX39" t="n">
        <v>98344.3382127134</v>
      </c>
      <c r="BY39" t="n">
        <v>17600.1869914976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135</v>
      </c>
      <c r="B40" t="n">
        <v>17263941.6203107</v>
      </c>
      <c r="C40" t="n">
        <v>168928.527685105</v>
      </c>
      <c r="D40" t="n">
        <v>111653.957628394</v>
      </c>
      <c r="E40" t="n">
        <v>771339.628425104</v>
      </c>
      <c r="F40" t="n">
        <v>80377.0746319152</v>
      </c>
      <c r="G40" t="n">
        <v>25987236.7003269</v>
      </c>
      <c r="H40" t="n">
        <v>298603070.674039</v>
      </c>
      <c r="I40" t="n">
        <v>7219925.16710324</v>
      </c>
      <c r="J40" t="n">
        <v>102981.554262156</v>
      </c>
      <c r="K40" t="n">
        <v>193740.918795988</v>
      </c>
      <c r="L40" t="n">
        <v>655143.576834307</v>
      </c>
      <c r="M40" t="n">
        <v>9117425.60613831</v>
      </c>
      <c r="N40" t="n">
        <v>38579.2785413732</v>
      </c>
      <c r="O40" t="n">
        <v>1399885.95462264</v>
      </c>
      <c r="P40" t="n">
        <v>9641387.65121127</v>
      </c>
      <c r="Q40" t="n">
        <v>444135.6674821</v>
      </c>
      <c r="R40" t="n">
        <v>10236238.745798</v>
      </c>
      <c r="S40" t="n">
        <v>1238870.71335437</v>
      </c>
      <c r="T40" t="n">
        <v>5327839.94217328</v>
      </c>
      <c r="U40" t="n">
        <v>726851.988176983</v>
      </c>
      <c r="V40" t="n">
        <v>9370.31355348804</v>
      </c>
      <c r="W40" t="n">
        <v>969698.029695062</v>
      </c>
      <c r="X40" t="n">
        <v>1311947.57045263</v>
      </c>
      <c r="Y40" t="n">
        <v>4364688.70003843</v>
      </c>
      <c r="Z40" t="n">
        <v>8541128.02157617</v>
      </c>
      <c r="AA40" t="n">
        <v>881450.711474036</v>
      </c>
      <c r="AB40" t="n">
        <v>2470559.8480816</v>
      </c>
      <c r="AC40" t="n">
        <v>8745048.50367516</v>
      </c>
      <c r="AD40" t="n">
        <v>1772695.51704792</v>
      </c>
      <c r="AE40" t="n">
        <v>6841569.01651674</v>
      </c>
      <c r="AF40" t="n">
        <v>8004821.34700895</v>
      </c>
      <c r="AG40" t="n">
        <v>1975.4715166999</v>
      </c>
      <c r="AH40" t="n">
        <v>1159616.40269724</v>
      </c>
      <c r="AI40" t="n">
        <v>5460353.90176385</v>
      </c>
      <c r="AJ40" t="n">
        <v>80987985.7694054</v>
      </c>
      <c r="AK40" t="n">
        <v>1136341.36717404</v>
      </c>
      <c r="AL40" t="n">
        <v>65487.1905934847</v>
      </c>
      <c r="AM40" t="n">
        <v>8080164.31750571</v>
      </c>
      <c r="AN40" t="n">
        <v>84582.7163626646</v>
      </c>
      <c r="AO40" t="n">
        <v>64481.5598793151</v>
      </c>
      <c r="AP40" t="n">
        <v>8470.74632635607</v>
      </c>
      <c r="AQ40" t="n">
        <v>57898.3677502544</v>
      </c>
      <c r="AR40" t="n">
        <v>53350.4364480885</v>
      </c>
      <c r="AS40" t="n">
        <v>961433.026725669</v>
      </c>
      <c r="AT40" t="n">
        <v>98195.9762749713</v>
      </c>
      <c r="AU40" t="n">
        <v>182178.779906937</v>
      </c>
      <c r="AV40" t="n">
        <v>0</v>
      </c>
      <c r="AW40" t="n">
        <v>16817279.8619394</v>
      </c>
      <c r="AX40" t="n">
        <v>2901284.39919832</v>
      </c>
      <c r="AY40" t="n">
        <v>586154.858359248</v>
      </c>
      <c r="AZ40" t="n">
        <v>72952.9427116276</v>
      </c>
      <c r="BA40" t="n">
        <v>76421.1086169054</v>
      </c>
      <c r="BB40" t="n">
        <v>679701.18861705</v>
      </c>
      <c r="BC40" t="n">
        <v>0</v>
      </c>
      <c r="BD40" t="n">
        <v>6365972.12108355</v>
      </c>
      <c r="BE40" t="n">
        <v>115544.122968635</v>
      </c>
      <c r="BF40" t="n">
        <v>386128.28371315</v>
      </c>
      <c r="BG40" t="n">
        <v>1729814.29874696</v>
      </c>
      <c r="BH40" t="n">
        <v>621844.621015435</v>
      </c>
      <c r="BI40" t="n">
        <v>457242.794396364</v>
      </c>
      <c r="BJ40" t="n">
        <v>305814.556331316</v>
      </c>
      <c r="BK40" t="n">
        <v>240000.223030089</v>
      </c>
      <c r="BL40" t="n">
        <v>1368755.83045539</v>
      </c>
      <c r="BM40" t="n">
        <v>10189803.2974507</v>
      </c>
      <c r="BN40" t="n">
        <v>32054970.567719</v>
      </c>
      <c r="BO40" t="n">
        <v>11382671.2275418</v>
      </c>
      <c r="BP40" t="n">
        <v>12698.4496565313</v>
      </c>
      <c r="BQ40" t="n">
        <v>326917.241487166</v>
      </c>
      <c r="BR40" t="n">
        <v>13020.3374878723</v>
      </c>
      <c r="BS40" t="n">
        <v>2846192.05080308</v>
      </c>
      <c r="BT40" t="n">
        <v>0</v>
      </c>
      <c r="BU40" t="n">
        <v>5753699619.10649</v>
      </c>
      <c r="BV40" t="n">
        <v>0</v>
      </c>
      <c r="BW40" t="n">
        <v>192638457.264114</v>
      </c>
      <c r="BX40" t="n">
        <v>67194407.1987914</v>
      </c>
      <c r="BY40" t="n">
        <v>46118568.9486101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136</v>
      </c>
      <c r="B41" t="n">
        <v>413237.915608373</v>
      </c>
      <c r="C41" t="n">
        <v>2806.57959454567</v>
      </c>
      <c r="D41" t="n">
        <v>5988.6979215169</v>
      </c>
      <c r="E41" t="n">
        <v>40469.4426508144</v>
      </c>
      <c r="F41" t="n">
        <v>664955.762616106</v>
      </c>
      <c r="G41" t="n">
        <v>3673678.62129022</v>
      </c>
      <c r="H41" t="n">
        <v>595347.721709991</v>
      </c>
      <c r="I41" t="n">
        <v>1195359.33757754</v>
      </c>
      <c r="J41" t="n">
        <v>710093.647400017</v>
      </c>
      <c r="K41" t="n">
        <v>832000.061903707</v>
      </c>
      <c r="L41" t="n">
        <v>931987.141277189</v>
      </c>
      <c r="M41" t="n">
        <v>1145116.89973121</v>
      </c>
      <c r="N41" t="n">
        <v>11645.3595941034</v>
      </c>
      <c r="O41" t="n">
        <v>153492.695292698</v>
      </c>
      <c r="P41" t="n">
        <v>1536833.30947905</v>
      </c>
      <c r="Q41" t="n">
        <v>351311.675367767</v>
      </c>
      <c r="R41" t="n">
        <v>1478065.35486996</v>
      </c>
      <c r="S41" t="n">
        <v>148672.038374349</v>
      </c>
      <c r="T41" t="n">
        <v>1379366.6124428</v>
      </c>
      <c r="U41" t="n">
        <v>201895.51942619</v>
      </c>
      <c r="V41" t="n">
        <v>14920.8992106792</v>
      </c>
      <c r="W41" t="n">
        <v>745505.853097269</v>
      </c>
      <c r="X41" t="n">
        <v>119859.668874069</v>
      </c>
      <c r="Y41" t="n">
        <v>935568.943519126</v>
      </c>
      <c r="Z41" t="n">
        <v>350778.586763173</v>
      </c>
      <c r="AA41" t="n">
        <v>1473691.75220909</v>
      </c>
      <c r="AB41" t="n">
        <v>12907585.1655644</v>
      </c>
      <c r="AC41" t="n">
        <v>525110.612263892</v>
      </c>
      <c r="AD41" t="n">
        <v>59391.9528266839</v>
      </c>
      <c r="AE41" t="n">
        <v>290745.291184464</v>
      </c>
      <c r="AF41" t="n">
        <v>282893.234035397</v>
      </c>
      <c r="AG41" t="n">
        <v>17208.0028957021</v>
      </c>
      <c r="AH41" t="n">
        <v>179504.029839822</v>
      </c>
      <c r="AI41" t="n">
        <v>314606.789424945</v>
      </c>
      <c r="AJ41" t="n">
        <v>3464212.91909872</v>
      </c>
      <c r="AK41" t="n">
        <v>8903.20391402056</v>
      </c>
      <c r="AL41" t="n">
        <v>29315.6415903006</v>
      </c>
      <c r="AM41" t="n">
        <v>904565.76099352</v>
      </c>
      <c r="AN41" t="n">
        <v>555182.060060093</v>
      </c>
      <c r="AO41" t="n">
        <v>215387.513866654</v>
      </c>
      <c r="AP41" t="n">
        <v>75131.1324410264</v>
      </c>
      <c r="AQ41" t="n">
        <v>967054.28923658</v>
      </c>
      <c r="AR41" t="n">
        <v>616814.202242006</v>
      </c>
      <c r="AS41" t="n">
        <v>13379996.9030478</v>
      </c>
      <c r="AT41" t="n">
        <v>966840.600856267</v>
      </c>
      <c r="AU41" t="n">
        <v>219201.472258638</v>
      </c>
      <c r="AV41" t="n">
        <v>1037760.07661043</v>
      </c>
      <c r="AW41" t="n">
        <v>15410.9357964265</v>
      </c>
      <c r="AX41" t="n">
        <v>14595696.2507092</v>
      </c>
      <c r="AY41" t="n">
        <v>2141119.27120359</v>
      </c>
      <c r="AZ41" t="n">
        <v>1426191.78658676</v>
      </c>
      <c r="BA41" t="n">
        <v>2596971.92359225</v>
      </c>
      <c r="BB41" t="n">
        <v>4471958.06836791</v>
      </c>
      <c r="BC41" t="n">
        <v>581709.290383584</v>
      </c>
      <c r="BD41" t="n">
        <v>10250379.8435128</v>
      </c>
      <c r="BE41" t="n">
        <v>1119414.98151611</v>
      </c>
      <c r="BF41" t="n">
        <v>975846.584435802</v>
      </c>
      <c r="BG41" t="n">
        <v>9127326.53937415</v>
      </c>
      <c r="BH41" t="n">
        <v>550952.731368139</v>
      </c>
      <c r="BI41" t="n">
        <v>828070.515111904</v>
      </c>
      <c r="BJ41" t="n">
        <v>1703499.214743</v>
      </c>
      <c r="BK41" t="n">
        <v>45453.0549931837</v>
      </c>
      <c r="BL41" t="n">
        <v>276118.642751812</v>
      </c>
      <c r="BM41" t="n">
        <v>744198.461117635</v>
      </c>
      <c r="BN41" t="n">
        <v>5787144.20831445</v>
      </c>
      <c r="BO41" t="n">
        <v>1705785.33755299</v>
      </c>
      <c r="BP41" t="n">
        <v>7295626.89690539</v>
      </c>
      <c r="BQ41" t="n">
        <v>8619353.16037765</v>
      </c>
      <c r="BR41" t="n">
        <v>479109.977155019</v>
      </c>
      <c r="BS41" t="n">
        <v>10686159.5551166</v>
      </c>
      <c r="BT41" t="n">
        <v>161288.262605043</v>
      </c>
      <c r="BU41" t="n">
        <v>180264425.24934</v>
      </c>
      <c r="BV41" t="n">
        <v>0</v>
      </c>
      <c r="BW41" t="n">
        <v>30962.0047517172</v>
      </c>
      <c r="BX41" t="n">
        <v>3712.2811819661</v>
      </c>
      <c r="BY41" t="n">
        <v>3271.49945123165</v>
      </c>
      <c r="BZ41" t="n">
        <v>11701.5670284299</v>
      </c>
      <c r="CA41" t="n">
        <v>20172634.7742702</v>
      </c>
      <c r="CB41" t="n">
        <v>-227109268.561788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18161.2435463402</v>
      </c>
      <c r="CN41" t="n">
        <v>5188.92672752578</v>
      </c>
    </row>
    <row r="42">
      <c r="A42" t="s">
        <v>137</v>
      </c>
      <c r="B42" t="n">
        <v>17233024.8191672</v>
      </c>
      <c r="C42" t="n">
        <v>215692.166207108</v>
      </c>
      <c r="D42" t="n">
        <v>507742.053742688</v>
      </c>
      <c r="E42" t="n">
        <v>3500472.33093758</v>
      </c>
      <c r="F42" t="n">
        <v>600370.627940535</v>
      </c>
      <c r="G42" t="n">
        <v>14902287.1267732</v>
      </c>
      <c r="H42" t="n">
        <v>6018580.15407695</v>
      </c>
      <c r="I42" t="n">
        <v>11283158.9166903</v>
      </c>
      <c r="J42" t="n">
        <v>8206486.88696223</v>
      </c>
      <c r="K42" t="n">
        <v>19223505.2455042</v>
      </c>
      <c r="L42" t="n">
        <v>3297521.80434636</v>
      </c>
      <c r="M42" t="n">
        <v>3191466.74553884</v>
      </c>
      <c r="N42" t="n">
        <v>22734.9171045901</v>
      </c>
      <c r="O42" t="n">
        <v>1892140.39247835</v>
      </c>
      <c r="P42" t="n">
        <v>9305529.83408522</v>
      </c>
      <c r="Q42" t="n">
        <v>1442580.88573097</v>
      </c>
      <c r="R42" t="n">
        <v>5478991.62092834</v>
      </c>
      <c r="S42" t="n">
        <v>301794.813245143</v>
      </c>
      <c r="T42" t="n">
        <v>22151654.1046765</v>
      </c>
      <c r="U42" t="n">
        <v>830939.935260948</v>
      </c>
      <c r="V42" t="n">
        <v>11964.2505388974</v>
      </c>
      <c r="W42" t="n">
        <v>16434608.7542616</v>
      </c>
      <c r="X42" t="n">
        <v>102738.540891439</v>
      </c>
      <c r="Y42" t="n">
        <v>36004651.1588139</v>
      </c>
      <c r="Z42" t="n">
        <v>8000186.13096501</v>
      </c>
      <c r="AA42" t="n">
        <v>10112409.9606797</v>
      </c>
      <c r="AB42" t="n">
        <v>888782.51946349</v>
      </c>
      <c r="AC42" t="n">
        <v>164204.360234456</v>
      </c>
      <c r="AD42" t="n">
        <v>401687.53590378</v>
      </c>
      <c r="AE42" t="n">
        <v>306791.571058113</v>
      </c>
      <c r="AF42" t="n">
        <v>421660.242425202</v>
      </c>
      <c r="AG42" t="n">
        <v>42627.4007581947</v>
      </c>
      <c r="AH42" t="n">
        <v>1266874.68635274</v>
      </c>
      <c r="AI42" t="n">
        <v>194079.0413982</v>
      </c>
      <c r="AJ42" t="n">
        <v>29700012.030424</v>
      </c>
      <c r="AK42" t="n">
        <v>25708.2446666922</v>
      </c>
      <c r="AL42" t="n">
        <v>26876.469112071</v>
      </c>
      <c r="AM42" t="n">
        <v>886718.745788715</v>
      </c>
      <c r="AN42" t="n">
        <v>269993.315604341</v>
      </c>
      <c r="AO42" t="n">
        <v>20909.6297783495</v>
      </c>
      <c r="AP42" t="n">
        <v>2884.17616540322</v>
      </c>
      <c r="AQ42" t="n">
        <v>734640.449882577</v>
      </c>
      <c r="AR42" t="n">
        <v>19566.1447621018</v>
      </c>
      <c r="AS42" t="n">
        <v>168491.608322573</v>
      </c>
      <c r="AT42" t="n">
        <v>18682.3127587108</v>
      </c>
      <c r="AU42" t="n">
        <v>298443.556978481</v>
      </c>
      <c r="AV42" t="n">
        <v>15462.6649157337</v>
      </c>
      <c r="AW42" t="n">
        <v>194338.714663908</v>
      </c>
      <c r="AX42" t="n">
        <v>497090.505990761</v>
      </c>
      <c r="AY42" t="n">
        <v>172362.742877074</v>
      </c>
      <c r="AZ42" t="n">
        <v>78329.1182143499</v>
      </c>
      <c r="BA42" t="n">
        <v>39753.3406060317</v>
      </c>
      <c r="BB42" t="n">
        <v>911863.607424246</v>
      </c>
      <c r="BC42" t="n">
        <v>69982.2159096182</v>
      </c>
      <c r="BD42" t="n">
        <v>1677254.28619019</v>
      </c>
      <c r="BE42" t="n">
        <v>187764.976025225</v>
      </c>
      <c r="BF42" t="n">
        <v>128943.232840405</v>
      </c>
      <c r="BG42" t="n">
        <v>1567320.89993614</v>
      </c>
      <c r="BH42" t="n">
        <v>583813.789690044</v>
      </c>
      <c r="BI42" t="n">
        <v>330830.782437241</v>
      </c>
      <c r="BJ42" t="n">
        <v>861129.483866692</v>
      </c>
      <c r="BK42" t="n">
        <v>8402.34002131402</v>
      </c>
      <c r="BL42" t="n">
        <v>221718.269520489</v>
      </c>
      <c r="BM42" t="n">
        <v>801336.935710453</v>
      </c>
      <c r="BN42" t="n">
        <v>3401046.69971241</v>
      </c>
      <c r="BO42" t="n">
        <v>599791.623671562</v>
      </c>
      <c r="BP42" t="n">
        <v>1422751.99036713</v>
      </c>
      <c r="BQ42" t="n">
        <v>5063438.8343976</v>
      </c>
      <c r="BR42" t="n">
        <v>4172797.77331745</v>
      </c>
      <c r="BS42" t="n">
        <v>11570662.5800718</v>
      </c>
      <c r="BT42" t="n">
        <v>6241131.15961937</v>
      </c>
      <c r="BU42" t="n">
        <v>22334684.3570299</v>
      </c>
      <c r="BV42" t="n">
        <v>0</v>
      </c>
      <c r="BW42" t="n">
        <v>19969519.3626484</v>
      </c>
      <c r="BX42" t="n">
        <v>0</v>
      </c>
      <c r="BY42" t="n">
        <v>102140.32480349</v>
      </c>
      <c r="BZ42" t="n">
        <v>5213545.01279221</v>
      </c>
      <c r="CA42" t="n">
        <v>110761049.612522</v>
      </c>
      <c r="CB42" t="n">
        <v>3874542.40285469</v>
      </c>
      <c r="CC42" t="n">
        <v>0</v>
      </c>
      <c r="CD42" t="n">
        <v>0</v>
      </c>
      <c r="CE42" t="n">
        <v>1567685.36327827</v>
      </c>
      <c r="CF42" t="n">
        <v>0</v>
      </c>
      <c r="CG42" t="n">
        <v>0</v>
      </c>
      <c r="CH42" t="n">
        <v>0</v>
      </c>
      <c r="CI42" t="n">
        <v>2300034.7300652</v>
      </c>
      <c r="CJ42" t="n">
        <v>0</v>
      </c>
      <c r="CK42" t="n">
        <v>0</v>
      </c>
      <c r="CL42" t="n">
        <v>0</v>
      </c>
      <c r="CM42" t="n">
        <v>2123509.25921754</v>
      </c>
      <c r="CN42" t="n">
        <v>0</v>
      </c>
    </row>
    <row r="43">
      <c r="A43" t="s">
        <v>138</v>
      </c>
      <c r="B43" t="n">
        <v>5072661.23090956</v>
      </c>
      <c r="C43" t="n">
        <v>93555.221510871</v>
      </c>
      <c r="D43" t="n">
        <v>336766.637993007</v>
      </c>
      <c r="E43" t="n">
        <v>958670.881769434</v>
      </c>
      <c r="F43" t="n">
        <v>290454.257124067</v>
      </c>
      <c r="G43" t="n">
        <v>1948449.38359074</v>
      </c>
      <c r="H43" t="n">
        <v>3208834.81864811</v>
      </c>
      <c r="I43" t="n">
        <v>124953.306354686</v>
      </c>
      <c r="J43" t="n">
        <v>1509691.01048743</v>
      </c>
      <c r="K43" t="n">
        <v>3515378.92096849</v>
      </c>
      <c r="L43" t="n">
        <v>500861.229797095</v>
      </c>
      <c r="M43" t="n">
        <v>404135.472091658</v>
      </c>
      <c r="N43" t="n">
        <v>5987.11946977963</v>
      </c>
      <c r="O43" t="n">
        <v>499691.163562665</v>
      </c>
      <c r="P43" t="n">
        <v>672177.272431828</v>
      </c>
      <c r="Q43" t="n">
        <v>142403.207139278</v>
      </c>
      <c r="R43" t="n">
        <v>311102.930803858</v>
      </c>
      <c r="S43" t="n">
        <v>78240.1225189674</v>
      </c>
      <c r="T43" t="n">
        <v>4020358.22764691</v>
      </c>
      <c r="U43" t="n">
        <v>393180.392589966</v>
      </c>
      <c r="V43" t="n">
        <v>0</v>
      </c>
      <c r="W43" t="n">
        <v>1178647.66903901</v>
      </c>
      <c r="X43" t="n">
        <v>1273.20697293768</v>
      </c>
      <c r="Y43" t="n">
        <v>1937096.75965698</v>
      </c>
      <c r="Z43" t="n">
        <v>1583052.76283418</v>
      </c>
      <c r="AA43" t="n">
        <v>1007738.27215754</v>
      </c>
      <c r="AB43" t="n">
        <v>88115.2557852082</v>
      </c>
      <c r="AC43" t="n">
        <v>77697.4749705494</v>
      </c>
      <c r="AD43" t="n">
        <v>68176.8118978188</v>
      </c>
      <c r="AE43" t="n">
        <v>52527.2597603599</v>
      </c>
      <c r="AF43" t="n">
        <v>98480.6714740257</v>
      </c>
      <c r="AG43" t="n">
        <v>6892.49335535584</v>
      </c>
      <c r="AH43" t="n">
        <v>74623.3916739939</v>
      </c>
      <c r="AI43" t="n">
        <v>29139.4573057213</v>
      </c>
      <c r="AJ43" t="n">
        <v>156887.504686786</v>
      </c>
      <c r="AK43" t="n">
        <v>2090.77527600606</v>
      </c>
      <c r="AL43" t="n">
        <v>19429.1867079641</v>
      </c>
      <c r="AM43" t="n">
        <v>39484.5838195657</v>
      </c>
      <c r="AN43" t="n">
        <v>35132.4086896572</v>
      </c>
      <c r="AO43" t="n">
        <v>1700.51816208415</v>
      </c>
      <c r="AP43" t="n">
        <v>0</v>
      </c>
      <c r="AQ43" t="n">
        <v>57115.7957988472</v>
      </c>
      <c r="AR43" t="n">
        <v>5186.31751772672</v>
      </c>
      <c r="AS43" t="n">
        <v>15660.4830623737</v>
      </c>
      <c r="AT43" t="n">
        <v>1080.44592081494</v>
      </c>
      <c r="AU43" t="n">
        <v>0</v>
      </c>
      <c r="AV43" t="n">
        <v>4024.10453780911</v>
      </c>
      <c r="AW43" t="n">
        <v>48801.376224612</v>
      </c>
      <c r="AX43" t="n">
        <v>96818.5540720399</v>
      </c>
      <c r="AY43" t="n">
        <v>32462.1592130929</v>
      </c>
      <c r="AZ43" t="n">
        <v>0</v>
      </c>
      <c r="BA43" t="n">
        <v>9405.15276915515</v>
      </c>
      <c r="BB43" t="n">
        <v>2395360.82009117</v>
      </c>
      <c r="BC43" t="n">
        <v>270659.877385411</v>
      </c>
      <c r="BD43" t="n">
        <v>507150.942508906</v>
      </c>
      <c r="BE43" t="n">
        <v>74170.3612904114</v>
      </c>
      <c r="BF43" t="n">
        <v>843860.506417144</v>
      </c>
      <c r="BG43" t="n">
        <v>814791.9534308</v>
      </c>
      <c r="BH43" t="n">
        <v>641505.443085372</v>
      </c>
      <c r="BI43" t="n">
        <v>45581.0588657559</v>
      </c>
      <c r="BJ43" t="n">
        <v>68048.3625018131</v>
      </c>
      <c r="BK43" t="n">
        <v>1929.42321499494</v>
      </c>
      <c r="BL43" t="n">
        <v>40730.403703366</v>
      </c>
      <c r="BM43" t="n">
        <v>65170.3558393682</v>
      </c>
      <c r="BN43" t="n">
        <v>311392.828537122</v>
      </c>
      <c r="BO43" t="n">
        <v>171432.360008859</v>
      </c>
      <c r="BP43" t="n">
        <v>9045677.99365094</v>
      </c>
      <c r="BQ43" t="n">
        <v>1363792.40470513</v>
      </c>
      <c r="BR43" t="n">
        <v>4975495.82901383</v>
      </c>
      <c r="BS43" t="n">
        <v>4413112.53453574</v>
      </c>
      <c r="BT43" t="n">
        <v>966713.773355298</v>
      </c>
      <c r="BU43" t="n">
        <v>92412173.0408965</v>
      </c>
      <c r="BV43" t="n">
        <v>0</v>
      </c>
      <c r="BW43" t="n">
        <v>48166.4456200023</v>
      </c>
      <c r="BX43" t="n">
        <v>0</v>
      </c>
      <c r="BY43" t="n">
        <v>0</v>
      </c>
      <c r="BZ43" t="n">
        <v>786507.481210201</v>
      </c>
      <c r="CA43" t="n">
        <v>77458301.2946692</v>
      </c>
      <c r="CB43" t="n">
        <v>165055217.639838</v>
      </c>
      <c r="CC43" t="n">
        <v>0</v>
      </c>
      <c r="CD43" t="n">
        <v>0</v>
      </c>
      <c r="CE43" t="n">
        <v>44669.8511312776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139</v>
      </c>
      <c r="B44" t="n">
        <v>34601636.106976</v>
      </c>
      <c r="C44" t="n">
        <v>1782531.6571854</v>
      </c>
      <c r="D44" t="n">
        <v>688674.850839782</v>
      </c>
      <c r="E44" t="n">
        <v>2356705.74005852</v>
      </c>
      <c r="F44" t="n">
        <v>1082271.69237553</v>
      </c>
      <c r="G44" t="n">
        <v>5382930.68498794</v>
      </c>
      <c r="H44" t="n">
        <v>33749396.5425836</v>
      </c>
      <c r="I44" t="n">
        <v>15961201.3593752</v>
      </c>
      <c r="J44" t="n">
        <v>8349006.24932656</v>
      </c>
      <c r="K44" t="n">
        <v>27452809.2905474</v>
      </c>
      <c r="L44" t="n">
        <v>7545529.66406083</v>
      </c>
      <c r="M44" t="n">
        <v>12568472.9097438</v>
      </c>
      <c r="N44" t="n">
        <v>196279.322162292</v>
      </c>
      <c r="O44" t="n">
        <v>5886526.09904644</v>
      </c>
      <c r="P44" t="n">
        <v>31048168.2702984</v>
      </c>
      <c r="Q44" t="n">
        <v>5208318.44923707</v>
      </c>
      <c r="R44" t="n">
        <v>13791929.1306858</v>
      </c>
      <c r="S44" t="n">
        <v>991665.974252949</v>
      </c>
      <c r="T44" t="n">
        <v>60802292.3224243</v>
      </c>
      <c r="U44" t="n">
        <v>5040469.04724103</v>
      </c>
      <c r="V44" t="n">
        <v>487971.128416654</v>
      </c>
      <c r="W44" t="n">
        <v>12986830.276045</v>
      </c>
      <c r="X44" t="n">
        <v>404540.104437169</v>
      </c>
      <c r="Y44" t="n">
        <v>43058002.6978732</v>
      </c>
      <c r="Z44" t="n">
        <v>7223369.9794059</v>
      </c>
      <c r="AA44" t="n">
        <v>9316880.45924621</v>
      </c>
      <c r="AB44" t="n">
        <v>11581925.2712247</v>
      </c>
      <c r="AC44" t="n">
        <v>6296869.88832581</v>
      </c>
      <c r="AD44" t="n">
        <v>2946817.43748061</v>
      </c>
      <c r="AE44" t="n">
        <v>4912170.97506352</v>
      </c>
      <c r="AF44" t="n">
        <v>12411526.2598444</v>
      </c>
      <c r="AG44" t="n">
        <v>279313.267642453</v>
      </c>
      <c r="AH44" t="n">
        <v>1278726.52282628</v>
      </c>
      <c r="AI44" t="n">
        <v>988415.175252955</v>
      </c>
      <c r="AJ44" t="n">
        <v>41300793.5593755</v>
      </c>
      <c r="AK44" t="n">
        <v>139594.595060395</v>
      </c>
      <c r="AL44" t="n">
        <v>221905.012510623</v>
      </c>
      <c r="AM44" t="n">
        <v>7568779.30164918</v>
      </c>
      <c r="AN44" t="n">
        <v>4917636.01029871</v>
      </c>
      <c r="AO44" t="n">
        <v>298996.452004602</v>
      </c>
      <c r="AP44" t="n">
        <v>40285.3888794823</v>
      </c>
      <c r="AQ44" t="n">
        <v>1800560.3939913</v>
      </c>
      <c r="AR44" t="n">
        <v>218230.79334134</v>
      </c>
      <c r="AS44" t="n">
        <v>375206.37365649</v>
      </c>
      <c r="AT44" t="n">
        <v>47086.881698282</v>
      </c>
      <c r="AU44" t="n">
        <v>342068.64744713</v>
      </c>
      <c r="AV44" t="n">
        <v>63929.5772247969</v>
      </c>
      <c r="AW44" t="n">
        <v>241921.217448686</v>
      </c>
      <c r="AX44" t="n">
        <v>955246.255685847</v>
      </c>
      <c r="AY44" t="n">
        <v>831226.560095978</v>
      </c>
      <c r="AZ44" t="n">
        <v>172687.19583541</v>
      </c>
      <c r="BA44" t="n">
        <v>281670.211747695</v>
      </c>
      <c r="BB44" t="n">
        <v>2905871.38491815</v>
      </c>
      <c r="BC44" t="n">
        <v>380136.000835153</v>
      </c>
      <c r="BD44" t="n">
        <v>3315882.69180946</v>
      </c>
      <c r="BE44" t="n">
        <v>1064046.63570421</v>
      </c>
      <c r="BF44" t="n">
        <v>536075.459805129</v>
      </c>
      <c r="BG44" t="n">
        <v>4068821.29698822</v>
      </c>
      <c r="BH44" t="n">
        <v>2887798.80842781</v>
      </c>
      <c r="BI44" t="n">
        <v>1150345.84045258</v>
      </c>
      <c r="BJ44" t="n">
        <v>2091999.39834858</v>
      </c>
      <c r="BK44" t="n">
        <v>58818.8734789074</v>
      </c>
      <c r="BL44" t="n">
        <v>1075535.33870106</v>
      </c>
      <c r="BM44" t="n">
        <v>2173279.64640801</v>
      </c>
      <c r="BN44" t="n">
        <v>7092308.78601264</v>
      </c>
      <c r="BO44" t="n">
        <v>4185957.63069005</v>
      </c>
      <c r="BP44" t="n">
        <v>16357821.6331916</v>
      </c>
      <c r="BQ44" t="n">
        <v>2124277.06504881</v>
      </c>
      <c r="BR44" t="n">
        <v>2835274.14253509</v>
      </c>
      <c r="BS44" t="n">
        <v>18730013.8488498</v>
      </c>
      <c r="BT44" t="n">
        <v>3037310.11391594</v>
      </c>
      <c r="BU44" t="n">
        <v>140218813.460437</v>
      </c>
      <c r="BV44" t="n">
        <v>69050.1030363507</v>
      </c>
      <c r="BW44" t="n">
        <v>88409936.8653332</v>
      </c>
      <c r="BX44" t="n">
        <v>3399660.57467815</v>
      </c>
      <c r="BY44" t="n">
        <v>1062319.1644555</v>
      </c>
      <c r="BZ44" t="n">
        <v>17481184.4187028</v>
      </c>
      <c r="CA44" t="n">
        <v>379533891.339301</v>
      </c>
      <c r="CB44" t="n">
        <v>61719120.810938</v>
      </c>
      <c r="CC44" t="n">
        <v>0</v>
      </c>
      <c r="CD44" t="n">
        <v>0</v>
      </c>
      <c r="CE44" t="n">
        <v>5274460.60620504</v>
      </c>
      <c r="CF44" t="n">
        <v>236551.566581317</v>
      </c>
      <c r="CG44" t="n">
        <v>0</v>
      </c>
      <c r="CH44" t="n">
        <v>0</v>
      </c>
      <c r="CI44" t="n">
        <v>0</v>
      </c>
      <c r="CJ44" t="n">
        <v>294091.136830826</v>
      </c>
      <c r="CK44" t="n">
        <v>0</v>
      </c>
      <c r="CL44" t="n">
        <v>0</v>
      </c>
      <c r="CM44" t="n">
        <v>1856688.59163952</v>
      </c>
      <c r="CN44" t="n">
        <v>170815.350430836</v>
      </c>
    </row>
    <row r="45">
      <c r="A45" t="s">
        <v>140</v>
      </c>
      <c r="B45" t="n">
        <v>0</v>
      </c>
      <c r="C45" t="n">
        <v>15399.7835922816</v>
      </c>
      <c r="D45" t="n">
        <v>1879.1161790898</v>
      </c>
      <c r="E45" t="n">
        <v>32705.3503155496</v>
      </c>
      <c r="F45" t="n">
        <v>685835.03299374</v>
      </c>
      <c r="G45" t="n">
        <v>10753942.7493282</v>
      </c>
      <c r="H45" t="n">
        <v>2459033.49462044</v>
      </c>
      <c r="I45" t="n">
        <v>1316358.89626783</v>
      </c>
      <c r="J45" t="n">
        <v>755454.372410998</v>
      </c>
      <c r="K45" t="n">
        <v>948155.452292939</v>
      </c>
      <c r="L45" t="n">
        <v>1033483.01728386</v>
      </c>
      <c r="M45" t="n">
        <v>1284587.19022659</v>
      </c>
      <c r="N45" t="n">
        <v>11130.5549535698</v>
      </c>
      <c r="O45" t="n">
        <v>167495.671860492</v>
      </c>
      <c r="P45" t="n">
        <v>1545908.31813644</v>
      </c>
      <c r="Q45" t="n">
        <v>323904.707325093</v>
      </c>
      <c r="R45" t="n">
        <v>1638704.57919778</v>
      </c>
      <c r="S45" t="n">
        <v>178322.137451708</v>
      </c>
      <c r="T45" t="n">
        <v>1308879.45540276</v>
      </c>
      <c r="U45" t="n">
        <v>166422.83027369</v>
      </c>
      <c r="V45" t="n">
        <v>10250.5458060601</v>
      </c>
      <c r="W45" t="n">
        <v>815133.299292607</v>
      </c>
      <c r="X45" t="n">
        <v>129100.019276571</v>
      </c>
      <c r="Y45" t="n">
        <v>981102.856498866</v>
      </c>
      <c r="Z45" t="n">
        <v>354159.184370904</v>
      </c>
      <c r="AA45" t="n">
        <v>1537076.21371888</v>
      </c>
      <c r="AB45" t="n">
        <v>7677625.7102142</v>
      </c>
      <c r="AC45" t="n">
        <v>1031686.15631622</v>
      </c>
      <c r="AD45" t="n">
        <v>35911.4758460758</v>
      </c>
      <c r="AE45" t="n">
        <v>401189.272873192</v>
      </c>
      <c r="AF45" t="n">
        <v>920141.351020792</v>
      </c>
      <c r="AG45" t="n">
        <v>432.208829617266</v>
      </c>
      <c r="AH45" t="n">
        <v>2805101.11289135</v>
      </c>
      <c r="AI45" t="n">
        <v>0</v>
      </c>
      <c r="AJ45" t="n">
        <v>0</v>
      </c>
      <c r="AK45" t="n">
        <v>0</v>
      </c>
      <c r="AL45" t="n">
        <v>20468.2721221311</v>
      </c>
      <c r="AM45" t="n">
        <v>999465.326046954</v>
      </c>
      <c r="AN45" t="n">
        <v>69396.2109854164</v>
      </c>
      <c r="AO45" t="n">
        <v>282155.417496391</v>
      </c>
      <c r="AP45" t="n">
        <v>96989.1015867412</v>
      </c>
      <c r="AQ45" t="n">
        <v>2276182.33981765</v>
      </c>
      <c r="AR45" t="n">
        <v>897161.931252674</v>
      </c>
      <c r="AS45" t="n">
        <v>19137698.3038526</v>
      </c>
      <c r="AT45" t="n">
        <v>1299003.69135935</v>
      </c>
      <c r="AU45" t="n">
        <v>4685250.64262263</v>
      </c>
      <c r="AV45" t="n">
        <v>1377777.77777778</v>
      </c>
      <c r="AW45" t="n">
        <v>35053.1626668566</v>
      </c>
      <c r="AX45" t="n">
        <v>20974381.03052</v>
      </c>
      <c r="AY45" t="n">
        <v>3870620.83661999</v>
      </c>
      <c r="AZ45" t="n">
        <v>2350650.20110912</v>
      </c>
      <c r="BA45" t="n">
        <v>3780577.10866516</v>
      </c>
      <c r="BB45" t="n">
        <v>10043177.8815139</v>
      </c>
      <c r="BC45" t="n">
        <v>876057.12285062</v>
      </c>
      <c r="BD45" t="n">
        <v>16304559.5092025</v>
      </c>
      <c r="BE45" t="n">
        <v>1430597.27583099</v>
      </c>
      <c r="BF45" t="n">
        <v>1705848.40109664</v>
      </c>
      <c r="BG45" t="n">
        <v>16334994.6199434</v>
      </c>
      <c r="BH45" t="n">
        <v>15094651.7147581</v>
      </c>
      <c r="BI45" t="n">
        <v>4548443.96247352</v>
      </c>
      <c r="BJ45" t="n">
        <v>1983357.83913304</v>
      </c>
      <c r="BK45" t="n">
        <v>2095282.15274466</v>
      </c>
      <c r="BL45" t="n">
        <v>406738.642127382</v>
      </c>
      <c r="BM45" t="n">
        <v>1268223.5029072</v>
      </c>
      <c r="BN45" t="n">
        <v>7940212.00288872</v>
      </c>
      <c r="BO45" t="n">
        <v>2103047.31053187</v>
      </c>
      <c r="BP45" t="n">
        <v>395902.668051104</v>
      </c>
      <c r="BQ45" t="n">
        <v>54421.5492634255</v>
      </c>
      <c r="BR45" t="n">
        <v>149556.195020945</v>
      </c>
      <c r="BS45" t="n">
        <v>153014021.98127</v>
      </c>
      <c r="BT45" t="n">
        <v>5122381.18961894</v>
      </c>
      <c r="BU45" t="n">
        <v>266861263.696717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141</v>
      </c>
      <c r="B46" t="n">
        <v>472530.448793064</v>
      </c>
      <c r="C46" t="n">
        <v>12144.0483153521</v>
      </c>
      <c r="D46" t="n">
        <v>1925804.52582015</v>
      </c>
      <c r="E46" t="n">
        <v>74277.9931824923</v>
      </c>
      <c r="F46" t="n">
        <v>34669.2092029417</v>
      </c>
      <c r="G46" t="n">
        <v>11667811.8450979</v>
      </c>
      <c r="H46" t="n">
        <v>305425.642192622</v>
      </c>
      <c r="I46" t="n">
        <v>42171.257884636</v>
      </c>
      <c r="J46" t="n">
        <v>11496.7460168424</v>
      </c>
      <c r="K46" t="n">
        <v>28148.7729419014</v>
      </c>
      <c r="L46" t="n">
        <v>16381.7060172163</v>
      </c>
      <c r="M46" t="n">
        <v>23154.4461980443</v>
      </c>
      <c r="N46" t="n">
        <v>219.434897125083</v>
      </c>
      <c r="O46" t="n">
        <v>13208.4682846171</v>
      </c>
      <c r="P46" t="n">
        <v>13763.8190066831</v>
      </c>
      <c r="Q46" t="n">
        <v>4033.0516318671</v>
      </c>
      <c r="R46" t="n">
        <v>26922.0606590494</v>
      </c>
      <c r="S46" t="n">
        <v>5312.39717736877</v>
      </c>
      <c r="T46" t="n">
        <v>49062.482780138</v>
      </c>
      <c r="U46" t="n">
        <v>23331.3165100066</v>
      </c>
      <c r="V46" t="n">
        <v>0</v>
      </c>
      <c r="W46" t="n">
        <v>51071.973144733</v>
      </c>
      <c r="X46" t="n">
        <v>2379.89039125117</v>
      </c>
      <c r="Y46" t="n">
        <v>58810271.7642114</v>
      </c>
      <c r="Z46" t="n">
        <v>188006.386642314</v>
      </c>
      <c r="AA46" t="n">
        <v>30114.6892233458</v>
      </c>
      <c r="AB46" t="n">
        <v>70915.0234377373</v>
      </c>
      <c r="AC46" t="n">
        <v>21515.977403951</v>
      </c>
      <c r="AD46" t="n">
        <v>8495.78232973856</v>
      </c>
      <c r="AE46" t="n">
        <v>10909.3828453603</v>
      </c>
      <c r="AF46" t="n">
        <v>33115.0992545966</v>
      </c>
      <c r="AG46" t="n">
        <v>37559.871509043</v>
      </c>
      <c r="AH46" t="n">
        <v>132441.957244961</v>
      </c>
      <c r="AI46" t="n">
        <v>159368.591161052</v>
      </c>
      <c r="AJ46" t="n">
        <v>626336.01802514</v>
      </c>
      <c r="AK46" t="n">
        <v>10855.8242109067</v>
      </c>
      <c r="AL46" t="n">
        <v>4035.24640611701</v>
      </c>
      <c r="AM46" t="n">
        <v>184967.970278747</v>
      </c>
      <c r="AN46" t="n">
        <v>134987.978067741</v>
      </c>
      <c r="AO46" t="n">
        <v>1412.72198475997</v>
      </c>
      <c r="AP46" t="n">
        <v>194.864238151396</v>
      </c>
      <c r="AQ46" t="n">
        <v>5619.02000636154</v>
      </c>
      <c r="AR46" t="n">
        <v>1272.99062865105</v>
      </c>
      <c r="AS46" t="n">
        <v>60496.9578183368</v>
      </c>
      <c r="AT46" t="n">
        <v>7292.9264356967</v>
      </c>
      <c r="AU46" t="n">
        <v>1186.10639219059</v>
      </c>
      <c r="AV46" t="n">
        <v>13372.2557660139</v>
      </c>
      <c r="AW46" t="n">
        <v>3685.65613043688</v>
      </c>
      <c r="AX46" t="n">
        <v>46634.0001857305</v>
      </c>
      <c r="AY46" t="n">
        <v>20226.1906175007</v>
      </c>
      <c r="AZ46" t="n">
        <v>572.126237922294</v>
      </c>
      <c r="BA46" t="n">
        <v>5860.06652998366</v>
      </c>
      <c r="BB46" t="n">
        <v>9910.20554648813</v>
      </c>
      <c r="BC46" t="n">
        <v>8405.7316923244</v>
      </c>
      <c r="BD46" t="n">
        <v>93707.5067047764</v>
      </c>
      <c r="BE46" t="n">
        <v>24465.8706302409</v>
      </c>
      <c r="BF46" t="n">
        <v>13836.4206778446</v>
      </c>
      <c r="BG46" t="n">
        <v>20512.0100464048</v>
      </c>
      <c r="BH46" t="n">
        <v>20335.7493483477</v>
      </c>
      <c r="BI46" t="n">
        <v>15777.8781256324</v>
      </c>
      <c r="BJ46" t="n">
        <v>16959.5514843675</v>
      </c>
      <c r="BK46" t="n">
        <v>667.869617259519</v>
      </c>
      <c r="BL46" t="n">
        <v>11279.0595327274</v>
      </c>
      <c r="BM46" t="n">
        <v>25566.5390789075</v>
      </c>
      <c r="BN46" t="n">
        <v>68592.7395377749</v>
      </c>
      <c r="BO46" t="n">
        <v>44037.4844513179</v>
      </c>
      <c r="BP46" t="n">
        <v>287007.818944361</v>
      </c>
      <c r="BQ46" t="n">
        <v>25749.6315980414</v>
      </c>
      <c r="BR46" t="n">
        <v>568348.206255418</v>
      </c>
      <c r="BS46" t="n">
        <v>1906710.38788166</v>
      </c>
      <c r="BT46" t="n">
        <v>5262421.43518655</v>
      </c>
      <c r="BU46" t="n">
        <v>2487873.58249705</v>
      </c>
      <c r="BV46" t="n">
        <v>0</v>
      </c>
      <c r="BW46" t="n">
        <v>0</v>
      </c>
      <c r="BX46" t="n">
        <v>0</v>
      </c>
      <c r="BY46" t="n">
        <v>0</v>
      </c>
      <c r="BZ46" t="n">
        <v>10563964.9650348</v>
      </c>
      <c r="CA46" t="n">
        <v>48251912.8858628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142</v>
      </c>
      <c r="B47" t="n">
        <v>0</v>
      </c>
      <c r="C47" t="n">
        <v>569791.992914419</v>
      </c>
      <c r="D47" t="n">
        <v>39461.4397608859</v>
      </c>
      <c r="E47" t="n">
        <v>3460226.06338515</v>
      </c>
      <c r="F47" t="n">
        <v>35171.0273330123</v>
      </c>
      <c r="G47" t="n">
        <v>87493342.1972433</v>
      </c>
      <c r="H47" t="n">
        <v>0</v>
      </c>
      <c r="I47" t="n">
        <v>13410406.2557285</v>
      </c>
      <c r="J47" t="n">
        <v>5559879.10923533</v>
      </c>
      <c r="K47" t="n">
        <v>1494739.18361475</v>
      </c>
      <c r="L47" t="n">
        <v>462210.997679714</v>
      </c>
      <c r="M47" t="n">
        <v>174336.832959323</v>
      </c>
      <c r="N47" t="n">
        <v>0</v>
      </c>
      <c r="O47" t="n">
        <v>47855.9062458549</v>
      </c>
      <c r="P47" t="n">
        <v>137137.028221781</v>
      </c>
      <c r="Q47" t="n">
        <v>0</v>
      </c>
      <c r="R47" t="n">
        <v>8193522.8959889</v>
      </c>
      <c r="S47" t="n">
        <v>354662.91782062</v>
      </c>
      <c r="T47" t="n">
        <v>2981662.61589509</v>
      </c>
      <c r="U47" t="n">
        <v>1054011.25840004</v>
      </c>
      <c r="V47" t="n">
        <v>0</v>
      </c>
      <c r="W47" t="n">
        <v>6308908.41233319</v>
      </c>
      <c r="X47" t="n">
        <v>586818.269438958</v>
      </c>
      <c r="Y47" t="n">
        <v>17430927.4171299</v>
      </c>
      <c r="Z47" t="n">
        <v>541316.476924634</v>
      </c>
      <c r="AA47" t="n">
        <v>5107675.61701617</v>
      </c>
      <c r="AB47" t="n">
        <v>301839956.369259</v>
      </c>
      <c r="AC47" t="n">
        <v>16182977.889985</v>
      </c>
      <c r="AD47" t="n">
        <v>9642231.26467135</v>
      </c>
      <c r="AE47" t="n">
        <v>7083065.7831405</v>
      </c>
      <c r="AF47" t="n">
        <v>79780577.9452189</v>
      </c>
      <c r="AG47" t="n">
        <v>12186127.9510588</v>
      </c>
      <c r="AH47" t="n">
        <v>11157870.3503226</v>
      </c>
      <c r="AI47" t="n">
        <v>50881693.4080804</v>
      </c>
      <c r="AJ47" t="n">
        <v>563781449.776115</v>
      </c>
      <c r="AK47" t="n">
        <v>1658826.5606596</v>
      </c>
      <c r="AL47" t="n">
        <v>4677000.17990696</v>
      </c>
      <c r="AM47" t="n">
        <v>166286765.778089</v>
      </c>
      <c r="AN47" t="n">
        <v>65695079.7328608</v>
      </c>
      <c r="AO47" t="n">
        <v>1448845.67555686</v>
      </c>
      <c r="AP47" t="n">
        <v>662244.056694182</v>
      </c>
      <c r="AQ47" t="n">
        <v>498780.825768738</v>
      </c>
      <c r="AR47" t="n">
        <v>2666650.86140501</v>
      </c>
      <c r="AS47" t="n">
        <v>4586448.38661296</v>
      </c>
      <c r="AT47" t="n">
        <v>3162853.45661757</v>
      </c>
      <c r="AU47" t="n">
        <v>255695.861716163</v>
      </c>
      <c r="AV47" t="n">
        <v>0</v>
      </c>
      <c r="AW47" t="n">
        <v>0</v>
      </c>
      <c r="AX47" t="n">
        <v>0</v>
      </c>
      <c r="AY47" t="n">
        <v>16551178.8585989</v>
      </c>
      <c r="AZ47" t="n">
        <v>2394180.76038891</v>
      </c>
      <c r="BA47" t="n">
        <v>1515636.76878919</v>
      </c>
      <c r="BB47" t="n">
        <v>18557363.0928495</v>
      </c>
      <c r="BC47" t="n">
        <v>1892016.90410324</v>
      </c>
      <c r="BD47" t="n">
        <v>12896261.7586912</v>
      </c>
      <c r="BE47" t="n">
        <v>9755639.25446191</v>
      </c>
      <c r="BF47" t="n">
        <v>1234709.318889</v>
      </c>
      <c r="BG47" t="n">
        <v>14280114.7234855</v>
      </c>
      <c r="BH47" t="n">
        <v>22039525.3461137</v>
      </c>
      <c r="BI47" t="n">
        <v>2467630.88873197</v>
      </c>
      <c r="BJ47" t="n">
        <v>7807977.9992376</v>
      </c>
      <c r="BK47" t="n">
        <v>492061.00676825</v>
      </c>
      <c r="BL47" t="n">
        <v>2847170.49489168</v>
      </c>
      <c r="BM47" t="n">
        <v>1106119.74689651</v>
      </c>
      <c r="BN47" t="n">
        <v>5877496.5217001</v>
      </c>
      <c r="BO47" t="n">
        <v>6582419.26573251</v>
      </c>
      <c r="BP47" t="n">
        <v>27782.6433720073</v>
      </c>
      <c r="BQ47" t="n">
        <v>1982499.29459622</v>
      </c>
      <c r="BR47" t="n">
        <v>9158536.51413978</v>
      </c>
      <c r="BS47" t="n">
        <v>7270626.34940944</v>
      </c>
      <c r="BT47" t="n">
        <v>16625006.4053609</v>
      </c>
      <c r="BU47" t="n">
        <v>86056194.2764358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67583734.5978408</v>
      </c>
      <c r="CB47" t="n">
        <v>21759570.0542807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143</v>
      </c>
      <c r="B48" t="n">
        <v>2240884.04445882</v>
      </c>
      <c r="C48" t="n">
        <v>0</v>
      </c>
      <c r="D48" t="n">
        <v>2985.17526665769</v>
      </c>
      <c r="E48" t="n">
        <v>254583.989689001</v>
      </c>
      <c r="F48" t="n">
        <v>0</v>
      </c>
      <c r="G48" t="n">
        <v>1845870.83264434</v>
      </c>
      <c r="H48" t="n">
        <v>0</v>
      </c>
      <c r="I48" t="n">
        <v>6415117.00380255</v>
      </c>
      <c r="J48" t="n">
        <v>3009071.20420029</v>
      </c>
      <c r="K48" t="n">
        <v>203786.149863275</v>
      </c>
      <c r="L48" t="n">
        <v>819523.629641425</v>
      </c>
      <c r="M48" t="n">
        <v>1061651.40958295</v>
      </c>
      <c r="N48" t="n">
        <v>53537.3681938347</v>
      </c>
      <c r="O48" t="n">
        <v>266084.631953061</v>
      </c>
      <c r="P48" t="n">
        <v>297077.329137756</v>
      </c>
      <c r="Q48" t="n">
        <v>187316.790484321</v>
      </c>
      <c r="R48" t="n">
        <v>903908.316937346</v>
      </c>
      <c r="S48" t="n">
        <v>246037.070242704</v>
      </c>
      <c r="T48" t="n">
        <v>5763901.80764059</v>
      </c>
      <c r="U48" t="n">
        <v>4465089.66909267</v>
      </c>
      <c r="V48" t="n">
        <v>382675.850241005</v>
      </c>
      <c r="W48" t="n">
        <v>7577384.64449796</v>
      </c>
      <c r="X48" t="n">
        <v>285881.730139841</v>
      </c>
      <c r="Y48" t="n">
        <v>5641215.07709156</v>
      </c>
      <c r="Z48" t="n">
        <v>2035492.99056113</v>
      </c>
      <c r="AA48" t="n">
        <v>7833503.73029371</v>
      </c>
      <c r="AB48" t="n">
        <v>35618576.8817643</v>
      </c>
      <c r="AC48" t="n">
        <v>16346535.901015</v>
      </c>
      <c r="AD48" t="n">
        <v>9666667.7241159</v>
      </c>
      <c r="AE48" t="n">
        <v>14849095.8676808</v>
      </c>
      <c r="AF48" t="n">
        <v>38652777.299731</v>
      </c>
      <c r="AG48" t="n">
        <v>17622.978369166</v>
      </c>
      <c r="AH48" t="n">
        <v>2365.28689125161</v>
      </c>
      <c r="AI48" t="n">
        <v>3041151.57925105</v>
      </c>
      <c r="AJ48" t="n">
        <v>19154229.3607652</v>
      </c>
      <c r="AK48" t="n">
        <v>98410.7746150738</v>
      </c>
      <c r="AL48" t="n">
        <v>799352.16394041</v>
      </c>
      <c r="AM48" t="n">
        <v>1662708.53218618</v>
      </c>
      <c r="AN48" t="n">
        <v>21154452.4955707</v>
      </c>
      <c r="AO48" t="n">
        <v>126880.994498988</v>
      </c>
      <c r="AP48" t="n">
        <v>46615.7951412772</v>
      </c>
      <c r="AQ48" t="n">
        <v>397231.213679492</v>
      </c>
      <c r="AR48" t="n">
        <v>226196.758190555</v>
      </c>
      <c r="AS48" t="n">
        <v>0</v>
      </c>
      <c r="AT48" t="n">
        <v>0</v>
      </c>
      <c r="AU48" t="n">
        <v>17920.5875364878</v>
      </c>
      <c r="AV48" t="n">
        <v>0</v>
      </c>
      <c r="AW48" t="n">
        <v>1546.82403023688</v>
      </c>
      <c r="AX48" t="n">
        <v>318174.951562734</v>
      </c>
      <c r="AY48" t="n">
        <v>738772.444817737</v>
      </c>
      <c r="AZ48" t="n">
        <v>170961.356746577</v>
      </c>
      <c r="BA48" t="n">
        <v>102064.976593756</v>
      </c>
      <c r="BB48" t="n">
        <v>704289.504954932</v>
      </c>
      <c r="BC48" t="n">
        <v>9701.39782754021</v>
      </c>
      <c r="BD48" t="n">
        <v>15944557.0289529</v>
      </c>
      <c r="BE48" t="n">
        <v>489822.658140266</v>
      </c>
      <c r="BF48" t="n">
        <v>160014.384757172</v>
      </c>
      <c r="BG48" t="n">
        <v>1217261.05367547</v>
      </c>
      <c r="BH48" t="n">
        <v>1803462.16629527</v>
      </c>
      <c r="BI48" t="n">
        <v>316079.592880823</v>
      </c>
      <c r="BJ48" t="n">
        <v>397010.202270122</v>
      </c>
      <c r="BK48" t="n">
        <v>56507.7885930197</v>
      </c>
      <c r="BL48" t="n">
        <v>146744.110381898</v>
      </c>
      <c r="BM48" t="n">
        <v>1484521.3056292</v>
      </c>
      <c r="BN48" t="n">
        <v>1691061.14694508</v>
      </c>
      <c r="BO48" t="n">
        <v>1119929.60911422</v>
      </c>
      <c r="BP48" t="n">
        <v>801798.084898603</v>
      </c>
      <c r="BQ48" t="n">
        <v>2636859.21689438</v>
      </c>
      <c r="BR48" t="n">
        <v>0</v>
      </c>
      <c r="BS48" t="n">
        <v>13881756.8036133</v>
      </c>
      <c r="BT48" t="n">
        <v>148464.243698138</v>
      </c>
      <c r="BU48" t="n">
        <v>380702.699432382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1942425.49701026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144</v>
      </c>
      <c r="B49" t="n">
        <v>195924.631075385</v>
      </c>
      <c r="C49" t="n">
        <v>0</v>
      </c>
      <c r="D49" t="n">
        <v>10394.2332041587</v>
      </c>
      <c r="E49" t="n">
        <v>1288.71817683193</v>
      </c>
      <c r="F49" t="n">
        <v>13058.1000051039</v>
      </c>
      <c r="G49" t="n">
        <v>697422.453818349</v>
      </c>
      <c r="H49" t="n">
        <v>790548.576082342</v>
      </c>
      <c r="I49" t="n">
        <v>101614.462769845</v>
      </c>
      <c r="J49" t="n">
        <v>1305.60721354696</v>
      </c>
      <c r="K49" t="n">
        <v>39724.959888085</v>
      </c>
      <c r="L49" t="n">
        <v>103729.91117599</v>
      </c>
      <c r="M49" t="n">
        <v>85238.9711242953</v>
      </c>
      <c r="N49" t="n">
        <v>4765.18437106576</v>
      </c>
      <c r="O49" t="n">
        <v>4714.27271476711</v>
      </c>
      <c r="P49" t="n">
        <v>81241.7862834788</v>
      </c>
      <c r="Q49" t="n">
        <v>295030.575867441</v>
      </c>
      <c r="R49" t="n">
        <v>87949.130838586</v>
      </c>
      <c r="S49" t="n">
        <v>14502.5942302451</v>
      </c>
      <c r="T49" t="n">
        <v>15120.526366914</v>
      </c>
      <c r="U49" t="n">
        <v>0</v>
      </c>
      <c r="V49" t="n">
        <v>0</v>
      </c>
      <c r="W49" t="n">
        <v>15399.7250888148</v>
      </c>
      <c r="X49" t="n">
        <v>16566.3473915791</v>
      </c>
      <c r="Y49" t="n">
        <v>48567.775569563</v>
      </c>
      <c r="Z49" t="n">
        <v>24479.1448168291</v>
      </c>
      <c r="AA49" t="n">
        <v>15047.6494718551</v>
      </c>
      <c r="AB49" t="n">
        <v>4001404.11947589</v>
      </c>
      <c r="AC49" t="n">
        <v>863261.567169022</v>
      </c>
      <c r="AD49" t="n">
        <v>108754.908521397</v>
      </c>
      <c r="AE49" t="n">
        <v>752423.453121687</v>
      </c>
      <c r="AF49" t="n">
        <v>1167862.76772419</v>
      </c>
      <c r="AG49" t="n">
        <v>1964.97283485462</v>
      </c>
      <c r="AH49" t="n">
        <v>144857.63095446</v>
      </c>
      <c r="AI49" t="n">
        <v>0</v>
      </c>
      <c r="AJ49" t="n">
        <v>99840.071663649</v>
      </c>
      <c r="AK49" t="n">
        <v>7072.25758654458</v>
      </c>
      <c r="AL49" t="n">
        <v>0</v>
      </c>
      <c r="AM49" t="n">
        <v>563922.426586959</v>
      </c>
      <c r="AN49" t="n">
        <v>356689.07866365</v>
      </c>
      <c r="AO49" t="n">
        <v>7537715.67099724</v>
      </c>
      <c r="AP49" t="n">
        <v>9764.55741519514</v>
      </c>
      <c r="AQ49" t="n">
        <v>550287.384674659</v>
      </c>
      <c r="AR49" t="n">
        <v>391234.906295411</v>
      </c>
      <c r="AS49" t="n">
        <v>636859.305814087</v>
      </c>
      <c r="AT49" t="n">
        <v>166789.608746793</v>
      </c>
      <c r="AU49" t="n">
        <v>521065.420860526</v>
      </c>
      <c r="AV49" t="n">
        <v>101587.261897914</v>
      </c>
      <c r="AW49" t="n">
        <v>0</v>
      </c>
      <c r="AX49" t="n">
        <v>539394.248435795</v>
      </c>
      <c r="AY49" t="n">
        <v>606671.824282163</v>
      </c>
      <c r="AZ49" t="n">
        <v>1005573.60394058</v>
      </c>
      <c r="BA49" t="n">
        <v>376724.753678704</v>
      </c>
      <c r="BB49" t="n">
        <v>2201125.50586072</v>
      </c>
      <c r="BC49" t="n">
        <v>403388.646316442</v>
      </c>
      <c r="BD49" t="n">
        <v>2891535.45618184</v>
      </c>
      <c r="BE49" t="n">
        <v>38657.5384137911</v>
      </c>
      <c r="BF49" t="n">
        <v>519634.722859032</v>
      </c>
      <c r="BG49" t="n">
        <v>2623739.93669839</v>
      </c>
      <c r="BH49" t="n">
        <v>2063337.95438265</v>
      </c>
      <c r="BI49" t="n">
        <v>203048.122597348</v>
      </c>
      <c r="BJ49" t="n">
        <v>1479682.5019257</v>
      </c>
      <c r="BK49" t="n">
        <v>11050.6172684219</v>
      </c>
      <c r="BL49" t="n">
        <v>77760.044040829</v>
      </c>
      <c r="BM49" t="n">
        <v>309098.603024664</v>
      </c>
      <c r="BN49" t="n">
        <v>243016.302575935</v>
      </c>
      <c r="BO49" t="n">
        <v>781274.569711575</v>
      </c>
      <c r="BP49" t="n">
        <v>95997.1480305442</v>
      </c>
      <c r="BQ49" t="n">
        <v>2042388.12964322</v>
      </c>
      <c r="BR49" t="n">
        <v>60652.4810241541</v>
      </c>
      <c r="BS49" t="n">
        <v>19382107.8466241</v>
      </c>
      <c r="BT49" t="n">
        <v>382620.699477433</v>
      </c>
      <c r="BU49" t="n">
        <v>123042916.017909</v>
      </c>
      <c r="BV49" t="n">
        <v>0</v>
      </c>
      <c r="BW49" t="n">
        <v>0</v>
      </c>
      <c r="BX49" t="n">
        <v>31235534.3395664</v>
      </c>
      <c r="BY49" t="n">
        <v>0</v>
      </c>
      <c r="BZ49" t="n">
        <v>397070.681348441</v>
      </c>
      <c r="CA49" t="n">
        <v>50907649.5076255</v>
      </c>
      <c r="CB49" t="n">
        <v>-24433068.4187481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61812232.2389612</v>
      </c>
      <c r="CK49" t="n">
        <v>0</v>
      </c>
      <c r="CL49" t="n">
        <v>0</v>
      </c>
      <c r="CM49" t="n">
        <v>0</v>
      </c>
      <c r="CN49" t="n">
        <v>11360863.1619429</v>
      </c>
    </row>
    <row r="50">
      <c r="A50" t="s">
        <v>145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54687.6614409592</v>
      </c>
      <c r="AC50" t="n">
        <v>471610.715587781</v>
      </c>
      <c r="AD50" t="n">
        <v>281844.465966478</v>
      </c>
      <c r="AE50" t="n">
        <v>0</v>
      </c>
      <c r="AF50" t="n">
        <v>133254.165769912</v>
      </c>
      <c r="AG50" t="n">
        <v>902.849040545794</v>
      </c>
      <c r="AH50" t="n">
        <v>0</v>
      </c>
      <c r="AI50" t="n">
        <v>0</v>
      </c>
      <c r="AJ50" t="n">
        <v>3570.91715537473</v>
      </c>
      <c r="AK50" t="n">
        <v>0</v>
      </c>
      <c r="AL50" t="n">
        <v>47191.6057307543</v>
      </c>
      <c r="AM50" t="n">
        <v>17460.4703433367</v>
      </c>
      <c r="AN50" t="n">
        <v>0</v>
      </c>
      <c r="AO50" t="n">
        <v>37994.3992030684</v>
      </c>
      <c r="AP50" t="n">
        <v>5834719.04725579</v>
      </c>
      <c r="AQ50" t="n">
        <v>43587395.7675779</v>
      </c>
      <c r="AR50" t="n">
        <v>35542.042186618</v>
      </c>
      <c r="AS50" t="n">
        <v>38679.397922965</v>
      </c>
      <c r="AT50" t="n">
        <v>4742.71069156954</v>
      </c>
      <c r="AU50" t="n">
        <v>0</v>
      </c>
      <c r="AV50" t="n">
        <v>0</v>
      </c>
      <c r="AW50" t="n">
        <v>0</v>
      </c>
      <c r="AX50" t="n">
        <v>41836.2027054106</v>
      </c>
      <c r="AY50" t="n">
        <v>386893.234569655</v>
      </c>
      <c r="AZ50" t="n">
        <v>7577.64938825801</v>
      </c>
      <c r="BA50" t="n">
        <v>14277.6261041831</v>
      </c>
      <c r="BB50" t="n">
        <v>1178724.90774488</v>
      </c>
      <c r="BC50" t="n">
        <v>201049.50746399</v>
      </c>
      <c r="BD50" t="n">
        <v>61411.9411493856</v>
      </c>
      <c r="BE50" t="n">
        <v>0</v>
      </c>
      <c r="BF50" t="n">
        <v>595408.718226577</v>
      </c>
      <c r="BG50" t="n">
        <v>76589.7281642836</v>
      </c>
      <c r="BH50" t="n">
        <v>19266.8974244511</v>
      </c>
      <c r="BI50" t="n">
        <v>1573667.73434062</v>
      </c>
      <c r="BJ50" t="n">
        <v>1779206.68354502</v>
      </c>
      <c r="BK50" t="n">
        <v>64706.0761087176</v>
      </c>
      <c r="BL50" t="n">
        <v>76282.857530653</v>
      </c>
      <c r="BM50" t="n">
        <v>2475225.10087162</v>
      </c>
      <c r="BN50" t="n">
        <v>5241637.87577714</v>
      </c>
      <c r="BO50" t="n">
        <v>379428.065790276</v>
      </c>
      <c r="BP50" t="n">
        <v>49391.9545606559</v>
      </c>
      <c r="BQ50" t="n">
        <v>1304068.48785351</v>
      </c>
      <c r="BR50" t="n">
        <v>73592.9540376219</v>
      </c>
      <c r="BS50" t="n">
        <v>960945.112845753</v>
      </c>
      <c r="BT50" t="n">
        <v>0</v>
      </c>
      <c r="BU50" t="n">
        <v>25216716.3044937</v>
      </c>
      <c r="BV50" t="n">
        <v>0</v>
      </c>
      <c r="BW50" t="n">
        <v>0</v>
      </c>
      <c r="BX50" t="n">
        <v>4320106.69832835</v>
      </c>
      <c r="BY50" t="n">
        <v>0</v>
      </c>
      <c r="BZ50" t="n">
        <v>-60222.8954407271</v>
      </c>
      <c r="CA50" t="n">
        <v>13346981.9258086</v>
      </c>
      <c r="CB50" t="n">
        <v>-37801770.8440687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146</v>
      </c>
      <c r="B51" t="n">
        <v>6953699.19056471</v>
      </c>
      <c r="C51" t="n">
        <v>81084.4469811131</v>
      </c>
      <c r="D51" t="n">
        <v>672799.229882461</v>
      </c>
      <c r="E51" t="n">
        <v>772455.295064351</v>
      </c>
      <c r="F51" t="n">
        <v>2301596.60273343</v>
      </c>
      <c r="G51" t="n">
        <v>11028737.4955249</v>
      </c>
      <c r="H51" t="n">
        <v>18182485.645246</v>
      </c>
      <c r="I51" t="n">
        <v>5909933.61963482</v>
      </c>
      <c r="J51" t="n">
        <v>4343208.58036317</v>
      </c>
      <c r="K51" t="n">
        <v>2550698.37683409</v>
      </c>
      <c r="L51" t="n">
        <v>4622541.78689582</v>
      </c>
      <c r="M51" t="n">
        <v>7642532.71534996</v>
      </c>
      <c r="N51" t="n">
        <v>115815.999977214</v>
      </c>
      <c r="O51" t="n">
        <v>1304873.63686802</v>
      </c>
      <c r="P51" t="n">
        <v>4538708.71629896</v>
      </c>
      <c r="Q51" t="n">
        <v>4026411.96487851</v>
      </c>
      <c r="R51" t="n">
        <v>5161552.96855103</v>
      </c>
      <c r="S51" t="n">
        <v>703444.197285347</v>
      </c>
      <c r="T51" t="n">
        <v>6584052.51124313</v>
      </c>
      <c r="U51" t="n">
        <v>1307444.15802329</v>
      </c>
      <c r="V51" t="n">
        <v>131075.285759619</v>
      </c>
      <c r="W51" t="n">
        <v>2922872.82824071</v>
      </c>
      <c r="X51" t="n">
        <v>564987.054623671</v>
      </c>
      <c r="Y51" t="n">
        <v>1549739.61953607</v>
      </c>
      <c r="Z51" t="n">
        <v>1199853.05940736</v>
      </c>
      <c r="AA51" t="n">
        <v>3288969.94610536</v>
      </c>
      <c r="AB51" t="n">
        <v>43678546.0282127</v>
      </c>
      <c r="AC51" t="n">
        <v>12037918.7144011</v>
      </c>
      <c r="AD51" t="n">
        <v>3484559.34269582</v>
      </c>
      <c r="AE51" t="n">
        <v>4578559.8115737</v>
      </c>
      <c r="AF51" t="n">
        <v>28043877.2250129</v>
      </c>
      <c r="AG51" t="n">
        <v>637305.406033182</v>
      </c>
      <c r="AH51" t="n">
        <v>698838.966622644</v>
      </c>
      <c r="AI51" t="n">
        <v>2434121.20794795</v>
      </c>
      <c r="AJ51" t="n">
        <v>13554296.3722306</v>
      </c>
      <c r="AK51" t="n">
        <v>1645707.95422864</v>
      </c>
      <c r="AL51" t="n">
        <v>6502201.85442053</v>
      </c>
      <c r="AM51" t="n">
        <v>5627510.29765639</v>
      </c>
      <c r="AN51" t="n">
        <v>3079730.19825222</v>
      </c>
      <c r="AO51" t="n">
        <v>1904203.31121102</v>
      </c>
      <c r="AP51" t="n">
        <v>499677.425176465</v>
      </c>
      <c r="AQ51" t="n">
        <v>279627668.141593</v>
      </c>
      <c r="AR51" t="n">
        <v>7361189.05526855</v>
      </c>
      <c r="AS51" t="n">
        <v>27827395.0362271</v>
      </c>
      <c r="AT51" t="n">
        <v>2480362.29318922</v>
      </c>
      <c r="AU51" t="n">
        <v>9130051.21614233</v>
      </c>
      <c r="AV51" t="n">
        <v>4563901.00440984</v>
      </c>
      <c r="AW51" t="n">
        <v>57127.3674472639</v>
      </c>
      <c r="AX51" t="n">
        <v>25412889.4749721</v>
      </c>
      <c r="AY51" t="n">
        <v>6308086.40247738</v>
      </c>
      <c r="AZ51" t="n">
        <v>9552785.20807162</v>
      </c>
      <c r="BA51" t="n">
        <v>2840585.08660545</v>
      </c>
      <c r="BB51" t="n">
        <v>16236155.7670812</v>
      </c>
      <c r="BC51" t="n">
        <v>4928399.87180887</v>
      </c>
      <c r="BD51" t="n">
        <v>45673749.744423</v>
      </c>
      <c r="BE51" t="n">
        <v>4732134.3582</v>
      </c>
      <c r="BF51" t="n">
        <v>5367083.67623128</v>
      </c>
      <c r="BG51" t="n">
        <v>28816257.2275564</v>
      </c>
      <c r="BH51" t="n">
        <v>9251499.31559779</v>
      </c>
      <c r="BI51" t="n">
        <v>6591719.83132712</v>
      </c>
      <c r="BJ51" t="n">
        <v>3572358.39811983</v>
      </c>
      <c r="BK51" t="n">
        <v>538300.060410499</v>
      </c>
      <c r="BL51" t="n">
        <v>4774053.5664928</v>
      </c>
      <c r="BM51" t="n">
        <v>29586460.3518674</v>
      </c>
      <c r="BN51" t="n">
        <v>26947941.6128264</v>
      </c>
      <c r="BO51" t="n">
        <v>25691406.3380787</v>
      </c>
      <c r="BP51" t="n">
        <v>34770267.6118023</v>
      </c>
      <c r="BQ51" t="n">
        <v>53509943.6183728</v>
      </c>
      <c r="BR51" t="n">
        <v>10951179.5829819</v>
      </c>
      <c r="BS51" t="n">
        <v>479480543.322181</v>
      </c>
      <c r="BT51" t="n">
        <v>7129645.5168925</v>
      </c>
      <c r="BU51" t="n">
        <v>1431526605.97948</v>
      </c>
      <c r="BV51" t="n">
        <v>0</v>
      </c>
      <c r="BW51" t="n">
        <v>21680708.7889605</v>
      </c>
      <c r="BX51" t="n">
        <v>96550433.153468</v>
      </c>
      <c r="BY51" t="n">
        <v>0</v>
      </c>
      <c r="BZ51" t="n">
        <v>0</v>
      </c>
      <c r="CA51" t="n">
        <v>42595787.5845104</v>
      </c>
      <c r="CB51" t="n">
        <v>-857228.422677102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147</v>
      </c>
      <c r="B52" t="n">
        <v>0</v>
      </c>
      <c r="C52" t="n">
        <v>0</v>
      </c>
      <c r="D52" t="n">
        <v>19252.1254917105</v>
      </c>
      <c r="E52" t="n">
        <v>12887.5543384915</v>
      </c>
      <c r="F52" t="n">
        <v>25119.7188000661</v>
      </c>
      <c r="G52" t="n">
        <v>10128700.2700403</v>
      </c>
      <c r="H52" t="n">
        <v>1617186.40485385</v>
      </c>
      <c r="I52" t="n">
        <v>2472291.22457654</v>
      </c>
      <c r="J52" t="n">
        <v>1432489.65572749</v>
      </c>
      <c r="K52" t="n">
        <v>1472672.11821152</v>
      </c>
      <c r="L52" t="n">
        <v>1935153.93215373</v>
      </c>
      <c r="M52" t="n">
        <v>3353931.54621153</v>
      </c>
      <c r="N52" t="n">
        <v>19097.3703799725</v>
      </c>
      <c r="O52" t="n">
        <v>961917.391075097</v>
      </c>
      <c r="P52" t="n">
        <v>1368351.93640181</v>
      </c>
      <c r="Q52" t="n">
        <v>2205311.97669726</v>
      </c>
      <c r="R52" t="n">
        <v>3276252.89530052</v>
      </c>
      <c r="S52" t="n">
        <v>292422.004188939</v>
      </c>
      <c r="T52" t="n">
        <v>2017062.57762871</v>
      </c>
      <c r="U52" t="n">
        <v>444479.702369737</v>
      </c>
      <c r="V52" t="n">
        <v>40392.3103713055</v>
      </c>
      <c r="W52" t="n">
        <v>1795385.93969799</v>
      </c>
      <c r="X52" t="n">
        <v>98440.4418696814</v>
      </c>
      <c r="Y52" t="n">
        <v>853750.305629963</v>
      </c>
      <c r="Z52" t="n">
        <v>343828.466052221</v>
      </c>
      <c r="AA52" t="n">
        <v>848335.763768763</v>
      </c>
      <c r="AB52" t="n">
        <v>4070990.51293254</v>
      </c>
      <c r="AC52" t="n">
        <v>8030407.52042943</v>
      </c>
      <c r="AD52" t="n">
        <v>1873262.80739984</v>
      </c>
      <c r="AE52" t="n">
        <v>3717143.76680953</v>
      </c>
      <c r="AF52" t="n">
        <v>12329602.8268931</v>
      </c>
      <c r="AG52" t="n">
        <v>70862.6641653676</v>
      </c>
      <c r="AH52" t="n">
        <v>0</v>
      </c>
      <c r="AI52" t="n">
        <v>0</v>
      </c>
      <c r="AJ52" t="n">
        <v>423049.350249664</v>
      </c>
      <c r="AK52" t="n">
        <v>76235.7406971849</v>
      </c>
      <c r="AL52" t="n">
        <v>105860.075253787</v>
      </c>
      <c r="AM52" t="n">
        <v>1062344.86251238</v>
      </c>
      <c r="AN52" t="n">
        <v>519738.442193541</v>
      </c>
      <c r="AO52" t="n">
        <v>864689.354455926</v>
      </c>
      <c r="AP52" t="n">
        <v>29220.8485333452</v>
      </c>
      <c r="AQ52" t="n">
        <v>3033229.08553708</v>
      </c>
      <c r="AR52" t="n">
        <v>2141209.87121852</v>
      </c>
      <c r="AS52" t="n">
        <v>16965361.483549</v>
      </c>
      <c r="AT52" t="n">
        <v>665326.831680011</v>
      </c>
      <c r="AU52" t="n">
        <v>1980013.1805958</v>
      </c>
      <c r="AV52" t="n">
        <v>3412221.47179031</v>
      </c>
      <c r="AW52" t="n">
        <v>1151.05921571063</v>
      </c>
      <c r="AX52" t="n">
        <v>813616.649396317</v>
      </c>
      <c r="AY52" t="n">
        <v>999072.665152954</v>
      </c>
      <c r="AZ52" t="n">
        <v>3168156.38571884</v>
      </c>
      <c r="BA52" t="n">
        <v>1378749.30232275</v>
      </c>
      <c r="BB52" t="n">
        <v>7684469.93342424</v>
      </c>
      <c r="BC52" t="n">
        <v>1103824.64241588</v>
      </c>
      <c r="BD52" t="n">
        <v>33855950.770851</v>
      </c>
      <c r="BE52" t="n">
        <v>1991755.61361391</v>
      </c>
      <c r="BF52" t="n">
        <v>3363802.14115451</v>
      </c>
      <c r="BG52" t="n">
        <v>2734373.22060711</v>
      </c>
      <c r="BH52" t="n">
        <v>3357484.1627463</v>
      </c>
      <c r="BI52" t="n">
        <v>496995.108584102</v>
      </c>
      <c r="BJ52" t="n">
        <v>1095163.912414</v>
      </c>
      <c r="BK52" t="n">
        <v>205511.249531265</v>
      </c>
      <c r="BL52" t="n">
        <v>1341937.81931881</v>
      </c>
      <c r="BM52" t="n">
        <v>2093763.41837288</v>
      </c>
      <c r="BN52" t="n">
        <v>14423103.1809483</v>
      </c>
      <c r="BO52" t="n">
        <v>9452056.81655057</v>
      </c>
      <c r="BP52" t="n">
        <v>2477034.01189928</v>
      </c>
      <c r="BQ52" t="n">
        <v>6949049.99131803</v>
      </c>
      <c r="BR52" t="n">
        <v>805413.145221045</v>
      </c>
      <c r="BS52" t="n">
        <v>58710561.7688872</v>
      </c>
      <c r="BT52" t="n">
        <v>3050888.10523051</v>
      </c>
      <c r="BU52" t="n">
        <v>74533909.8782032</v>
      </c>
      <c r="BV52" t="n">
        <v>0</v>
      </c>
      <c r="BW52" t="n">
        <v>0</v>
      </c>
      <c r="BX52" t="n">
        <v>8407328.57145884</v>
      </c>
      <c r="BY52" t="n">
        <v>0</v>
      </c>
      <c r="BZ52" t="n">
        <v>0</v>
      </c>
      <c r="CA52" t="n">
        <v>6432168.55574276</v>
      </c>
      <c r="CB52" t="n">
        <v>-6172412.38900266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6676786.13812287</v>
      </c>
    </row>
    <row r="53">
      <c r="A53" t="s">
        <v>148</v>
      </c>
      <c r="B53" t="n">
        <v>8742177.07302736</v>
      </c>
      <c r="C53" t="n">
        <v>1128991.87082697</v>
      </c>
      <c r="D53" t="n">
        <v>929053.7268677</v>
      </c>
      <c r="E53" t="n">
        <v>1033858.99128584</v>
      </c>
      <c r="F53" t="n">
        <v>684218.124880859</v>
      </c>
      <c r="G53" t="n">
        <v>14040320.490407</v>
      </c>
      <c r="H53" t="n">
        <v>6984397.36281381</v>
      </c>
      <c r="I53" t="n">
        <v>3085159.60590236</v>
      </c>
      <c r="J53" t="n">
        <v>1450040.95515352</v>
      </c>
      <c r="K53" t="n">
        <v>2681467.15236597</v>
      </c>
      <c r="L53" t="n">
        <v>2170555.44085301</v>
      </c>
      <c r="M53" t="n">
        <v>4458304.33292047</v>
      </c>
      <c r="N53" t="n">
        <v>319196.783029265</v>
      </c>
      <c r="O53" t="n">
        <v>2925656.6824519</v>
      </c>
      <c r="P53" t="n">
        <v>8789647.61523116</v>
      </c>
      <c r="Q53" t="n">
        <v>1470952.23364628</v>
      </c>
      <c r="R53" t="n">
        <v>3609973.75153709</v>
      </c>
      <c r="S53" t="n">
        <v>671298.399274291</v>
      </c>
      <c r="T53" t="n">
        <v>5474968.68745348</v>
      </c>
      <c r="U53" t="n">
        <v>1536609.50041997</v>
      </c>
      <c r="V53" t="n">
        <v>919512.950442834</v>
      </c>
      <c r="W53" t="n">
        <v>2493520.01820062</v>
      </c>
      <c r="X53" t="n">
        <v>217639.885153457</v>
      </c>
      <c r="Y53" t="n">
        <v>5136466.13531056</v>
      </c>
      <c r="Z53" t="n">
        <v>2810919.37554062</v>
      </c>
      <c r="AA53" t="n">
        <v>3709480.20895158</v>
      </c>
      <c r="AB53" t="n">
        <v>37155626.9329912</v>
      </c>
      <c r="AC53" t="n">
        <v>7572625.31110451</v>
      </c>
      <c r="AD53" t="n">
        <v>3067833.82983628</v>
      </c>
      <c r="AE53" t="n">
        <v>7775222.84255247</v>
      </c>
      <c r="AF53" t="n">
        <v>13914585.2580756</v>
      </c>
      <c r="AG53" t="n">
        <v>148041.665816442</v>
      </c>
      <c r="AH53" t="n">
        <v>11644640.6432857</v>
      </c>
      <c r="AI53" t="n">
        <v>2184034.97344607</v>
      </c>
      <c r="AJ53" t="n">
        <v>4684122.41511485</v>
      </c>
      <c r="AK53" t="n">
        <v>1520238.63653065</v>
      </c>
      <c r="AL53" t="n">
        <v>4094023.54794674</v>
      </c>
      <c r="AM53" t="n">
        <v>2552688.33936739</v>
      </c>
      <c r="AN53" t="n">
        <v>849212.544106932</v>
      </c>
      <c r="AO53" t="n">
        <v>1158565.45638965</v>
      </c>
      <c r="AP53" t="n">
        <v>179585.97791311</v>
      </c>
      <c r="AQ53" t="n">
        <v>14108770.5095883</v>
      </c>
      <c r="AR53" t="n">
        <v>491682.491577348</v>
      </c>
      <c r="AS53" t="n">
        <v>75853343.3880409</v>
      </c>
      <c r="AT53" t="n">
        <v>8600459.48390594</v>
      </c>
      <c r="AU53" t="n">
        <v>502124.351168359</v>
      </c>
      <c r="AV53" t="n">
        <v>3586653.88182143</v>
      </c>
      <c r="AW53" t="n">
        <v>146883467.010301</v>
      </c>
      <c r="AX53" t="n">
        <v>32048743.6079838</v>
      </c>
      <c r="AY53" t="n">
        <v>10470611.647978</v>
      </c>
      <c r="AZ53" t="n">
        <v>1580080.66640954</v>
      </c>
      <c r="BA53" t="n">
        <v>1115884.12826229</v>
      </c>
      <c r="BB53" t="n">
        <v>6401225.73426168</v>
      </c>
      <c r="BC53" t="n">
        <v>19350116.7622492</v>
      </c>
      <c r="BD53" t="n">
        <v>7189842.18473792</v>
      </c>
      <c r="BE53" t="n">
        <v>1272436.86080899</v>
      </c>
      <c r="BF53" t="n">
        <v>1363739.3913127</v>
      </c>
      <c r="BG53" t="n">
        <v>7907466.69487975</v>
      </c>
      <c r="BH53" t="n">
        <v>6166225.00054279</v>
      </c>
      <c r="BI53" t="n">
        <v>1604146.21842835</v>
      </c>
      <c r="BJ53" t="n">
        <v>1457120.95055598</v>
      </c>
      <c r="BK53" t="n">
        <v>190391.181177456</v>
      </c>
      <c r="BL53" t="n">
        <v>1852045.75957938</v>
      </c>
      <c r="BM53" t="n">
        <v>12142995.5357723</v>
      </c>
      <c r="BN53" t="n">
        <v>10643823.9006415</v>
      </c>
      <c r="BO53" t="n">
        <v>13083600.7930346</v>
      </c>
      <c r="BP53" t="n">
        <v>0</v>
      </c>
      <c r="BQ53" t="n">
        <v>8127132.95279723</v>
      </c>
      <c r="BR53" t="n">
        <v>2134589.44140183</v>
      </c>
      <c r="BS53" t="n">
        <v>40616223.2510373</v>
      </c>
      <c r="BT53" t="n">
        <v>3707776.88965958</v>
      </c>
      <c r="BU53" t="n">
        <v>333713287.043445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283569570.210257</v>
      </c>
      <c r="CB53" t="n">
        <v>-36808493.2915032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149</v>
      </c>
      <c r="B54" t="n">
        <v>546785.180616184</v>
      </c>
      <c r="C54" t="n">
        <v>16231.3084611483</v>
      </c>
      <c r="D54" t="n">
        <v>696504.216717508</v>
      </c>
      <c r="E54" t="n">
        <v>1912008.35575505</v>
      </c>
      <c r="F54" t="n">
        <v>6098806.69013904</v>
      </c>
      <c r="G54" t="n">
        <v>1091800.33310943</v>
      </c>
      <c r="H54" t="n">
        <v>866850.841818917</v>
      </c>
      <c r="I54" t="n">
        <v>90327.9201456966</v>
      </c>
      <c r="J54" t="n">
        <v>68682.0204278751</v>
      </c>
      <c r="K54" t="n">
        <v>2730959.65890783</v>
      </c>
      <c r="L54" t="n">
        <v>1758354.59484706</v>
      </c>
      <c r="M54" t="n">
        <v>2681118.80436732</v>
      </c>
      <c r="N54" t="n">
        <v>11161.2749434192</v>
      </c>
      <c r="O54" t="n">
        <v>659922.391634082</v>
      </c>
      <c r="P54" t="n">
        <v>3710751.50548418</v>
      </c>
      <c r="Q54" t="n">
        <v>687280.483453918</v>
      </c>
      <c r="R54" t="n">
        <v>3106539.30335347</v>
      </c>
      <c r="S54" t="n">
        <v>276598.35668957</v>
      </c>
      <c r="T54" t="n">
        <v>110323.042027734</v>
      </c>
      <c r="U54" t="n">
        <v>19489.8863853261</v>
      </c>
      <c r="V54" t="n">
        <v>1800.67217477741</v>
      </c>
      <c r="W54" t="n">
        <v>37268.9398287723</v>
      </c>
      <c r="X54" t="n">
        <v>7068.61758140905</v>
      </c>
      <c r="Y54" t="n">
        <v>103407.836873294</v>
      </c>
      <c r="Z54" t="n">
        <v>12139.2624792488</v>
      </c>
      <c r="AA54" t="n">
        <v>119073.614664618</v>
      </c>
      <c r="AB54" t="n">
        <v>2384001.44109453</v>
      </c>
      <c r="AC54" t="n">
        <v>122818.488407974</v>
      </c>
      <c r="AD54" t="n">
        <v>249182.771641595</v>
      </c>
      <c r="AE54" t="n">
        <v>1399785.4038966</v>
      </c>
      <c r="AF54" t="n">
        <v>634617.156566946</v>
      </c>
      <c r="AG54" t="n">
        <v>158354.935097287</v>
      </c>
      <c r="AH54" t="n">
        <v>641844.52849283</v>
      </c>
      <c r="AI54" t="n">
        <v>2230484.6299912</v>
      </c>
      <c r="AJ54" t="n">
        <v>776248.575809545</v>
      </c>
      <c r="AK54" t="n">
        <v>598852.413286491</v>
      </c>
      <c r="AL54" t="n">
        <v>173486.690691161</v>
      </c>
      <c r="AM54" t="n">
        <v>1545331.06517001</v>
      </c>
      <c r="AN54" t="n">
        <v>46730.4547480544</v>
      </c>
      <c r="AO54" t="n">
        <v>54678.968275178</v>
      </c>
      <c r="AP54" t="n">
        <v>69636.6696274722</v>
      </c>
      <c r="AQ54" t="n">
        <v>111957.384400912</v>
      </c>
      <c r="AR54" t="n">
        <v>13633.2897830047</v>
      </c>
      <c r="AS54" t="n">
        <v>35571771.7133478</v>
      </c>
      <c r="AT54" t="n">
        <v>4768570.36998361</v>
      </c>
      <c r="AU54" t="n">
        <v>1698261.35137073</v>
      </c>
      <c r="AV54" t="n">
        <v>87859277.2636141</v>
      </c>
      <c r="AW54" t="n">
        <v>2052.54939090948</v>
      </c>
      <c r="AX54" t="n">
        <v>3267526.51448987</v>
      </c>
      <c r="AY54" t="n">
        <v>1661611.65042473</v>
      </c>
      <c r="AZ54" t="n">
        <v>294403.276735733</v>
      </c>
      <c r="BA54" t="n">
        <v>132714.973802734</v>
      </c>
      <c r="BB54" t="n">
        <v>837305.237336587</v>
      </c>
      <c r="BC54" t="n">
        <v>5062595.60914088</v>
      </c>
      <c r="BD54" t="n">
        <v>965236.896901015</v>
      </c>
      <c r="BE54" t="n">
        <v>36333.5815626535</v>
      </c>
      <c r="BF54" t="n">
        <v>601602.182531006</v>
      </c>
      <c r="BG54" t="n">
        <v>1499863.5457915</v>
      </c>
      <c r="BH54" t="n">
        <v>8280542.3184324</v>
      </c>
      <c r="BI54" t="n">
        <v>383101.532640501</v>
      </c>
      <c r="BJ54" t="n">
        <v>2357004.48111896</v>
      </c>
      <c r="BK54" t="n">
        <v>134447.03155715</v>
      </c>
      <c r="BL54" t="n">
        <v>59672.6462178873</v>
      </c>
      <c r="BM54" t="n">
        <v>8036964.73886365</v>
      </c>
      <c r="BN54" t="n">
        <v>5703386.03631407</v>
      </c>
      <c r="BO54" t="n">
        <v>3485298.19023359</v>
      </c>
      <c r="BP54" t="n">
        <v>0</v>
      </c>
      <c r="BQ54" t="n">
        <v>5462.86559180063</v>
      </c>
      <c r="BR54" t="n">
        <v>21267.7573634781</v>
      </c>
      <c r="BS54" t="n">
        <v>33612610.5138324</v>
      </c>
      <c r="BT54" t="n">
        <v>2300152.33291331</v>
      </c>
      <c r="BU54" t="n">
        <v>225459318.759912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64264804.3512606</v>
      </c>
      <c r="CB54" t="n">
        <v>-210413.985391765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150</v>
      </c>
      <c r="B55" t="n">
        <v>7517494.86095274</v>
      </c>
      <c r="C55" t="n">
        <v>927071.467914146</v>
      </c>
      <c r="D55" t="n">
        <v>1210656.68116313</v>
      </c>
      <c r="E55" t="n">
        <v>1042115.88194898</v>
      </c>
      <c r="F55" t="n">
        <v>4001210.54394854</v>
      </c>
      <c r="G55" t="n">
        <v>3982478.29372805</v>
      </c>
      <c r="H55" t="n">
        <v>343067.56252171</v>
      </c>
      <c r="I55" t="n">
        <v>944452.228611471</v>
      </c>
      <c r="J55" t="n">
        <v>1483047.51128879</v>
      </c>
      <c r="K55" t="n">
        <v>1592152.19875807</v>
      </c>
      <c r="L55" t="n">
        <v>1064957.01430279</v>
      </c>
      <c r="M55" t="n">
        <v>2946260.29800092</v>
      </c>
      <c r="N55" t="n">
        <v>28754.6508171229</v>
      </c>
      <c r="O55" t="n">
        <v>2078545.08365117</v>
      </c>
      <c r="P55" t="n">
        <v>9112297.96669345</v>
      </c>
      <c r="Q55" t="n">
        <v>2036767.52384031</v>
      </c>
      <c r="R55" t="n">
        <v>3022097.85609821</v>
      </c>
      <c r="S55" t="n">
        <v>253893.765102797</v>
      </c>
      <c r="T55" t="n">
        <v>5308710.48030961</v>
      </c>
      <c r="U55" t="n">
        <v>1069771.38913851</v>
      </c>
      <c r="V55" t="n">
        <v>127427.196130797</v>
      </c>
      <c r="W55" t="n">
        <v>886594.926290247</v>
      </c>
      <c r="X55" t="n">
        <v>26131.8747688068</v>
      </c>
      <c r="Y55" t="n">
        <v>1349908.61511971</v>
      </c>
      <c r="Z55" t="n">
        <v>1451066.13266192</v>
      </c>
      <c r="AA55" t="n">
        <v>1418011.16433239</v>
      </c>
      <c r="AB55" t="n">
        <v>41046396.9969008</v>
      </c>
      <c r="AC55" t="n">
        <v>5772136.9037502</v>
      </c>
      <c r="AD55" t="n">
        <v>1646313.43603807</v>
      </c>
      <c r="AE55" t="n">
        <v>4142538.18558072</v>
      </c>
      <c r="AF55" t="n">
        <v>9835986.37749164</v>
      </c>
      <c r="AG55" t="n">
        <v>79700.2289063481</v>
      </c>
      <c r="AH55" t="n">
        <v>72555.247096572</v>
      </c>
      <c r="AI55" t="n">
        <v>2263031.44841402</v>
      </c>
      <c r="AJ55" t="n">
        <v>30064622.3432425</v>
      </c>
      <c r="AK55" t="n">
        <v>2720382.97774478</v>
      </c>
      <c r="AL55" t="n">
        <v>565067.997908699</v>
      </c>
      <c r="AM55" t="n">
        <v>4498647.33859504</v>
      </c>
      <c r="AN55" t="n">
        <v>5735869.91717151</v>
      </c>
      <c r="AO55" t="n">
        <v>107490.375297395</v>
      </c>
      <c r="AP55" t="n">
        <v>245695.662321653</v>
      </c>
      <c r="AQ55" t="n">
        <v>1437874.36340894</v>
      </c>
      <c r="AR55" t="n">
        <v>150296.153160479</v>
      </c>
      <c r="AS55" t="n">
        <v>4088855.92382038</v>
      </c>
      <c r="AT55" t="n">
        <v>1626295.83017701</v>
      </c>
      <c r="AU55" t="n">
        <v>371325633.031497</v>
      </c>
      <c r="AV55" t="n">
        <v>13710881.3638351</v>
      </c>
      <c r="AW55" t="n">
        <v>5761648.98837888</v>
      </c>
      <c r="AX55" t="n">
        <v>26457633.7101257</v>
      </c>
      <c r="AY55" t="n">
        <v>7594373.43969874</v>
      </c>
      <c r="AZ55" t="n">
        <v>2128759.23296956</v>
      </c>
      <c r="BA55" t="n">
        <v>756232.85360306</v>
      </c>
      <c r="BB55" t="n">
        <v>5149553.65102628</v>
      </c>
      <c r="BC55" t="n">
        <v>217018.332302835</v>
      </c>
      <c r="BD55" t="n">
        <v>7675649.85760553</v>
      </c>
      <c r="BE55" t="n">
        <v>1642390.05340937</v>
      </c>
      <c r="BF55" t="n">
        <v>1433882.00555695</v>
      </c>
      <c r="BG55" t="n">
        <v>15360301.5955101</v>
      </c>
      <c r="BH55" t="n">
        <v>13588986.61106</v>
      </c>
      <c r="BI55" t="n">
        <v>4233577.25760844</v>
      </c>
      <c r="BJ55" t="n">
        <v>12706337.1869866</v>
      </c>
      <c r="BK55" t="n">
        <v>423536.100236343</v>
      </c>
      <c r="BL55" t="n">
        <v>1432595.98753685</v>
      </c>
      <c r="BM55" t="n">
        <v>2956660.21584971</v>
      </c>
      <c r="BN55" t="n">
        <v>9515244.97530007</v>
      </c>
      <c r="BO55" t="n">
        <v>3985625.05366227</v>
      </c>
      <c r="BP55" t="n">
        <v>0</v>
      </c>
      <c r="BQ55" t="n">
        <v>1414477.29175358</v>
      </c>
      <c r="BR55" t="n">
        <v>4865757.58991704</v>
      </c>
      <c r="BS55" t="n">
        <v>6198718.11844476</v>
      </c>
      <c r="BT55" t="n">
        <v>10576373.8637432</v>
      </c>
      <c r="BU55" t="n">
        <v>378504160.894195</v>
      </c>
      <c r="BV55" t="n">
        <v>0</v>
      </c>
      <c r="BW55" t="n">
        <v>0</v>
      </c>
      <c r="BX55" t="n">
        <v>0</v>
      </c>
      <c r="BY55" t="n">
        <v>4789593.3065196</v>
      </c>
      <c r="BZ55" t="n">
        <v>0</v>
      </c>
      <c r="CA55" t="n">
        <v>71920125.1148161</v>
      </c>
      <c r="CB55" t="n">
        <v>-196963690.180295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151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11086451.6410878</v>
      </c>
      <c r="AV56" t="n">
        <v>39649679.3751609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213615.478840557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386394.206417611</v>
      </c>
      <c r="BR56" t="n">
        <v>0</v>
      </c>
      <c r="BS56" t="n">
        <v>7644047.3896335</v>
      </c>
      <c r="BT56" t="n">
        <v>0</v>
      </c>
      <c r="BU56" t="n">
        <v>722117992.996529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152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14005273881.4227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153</v>
      </c>
      <c r="B58" t="n">
        <v>39951391.9883572</v>
      </c>
      <c r="C58" t="n">
        <v>200197.186699661</v>
      </c>
      <c r="D58" t="n">
        <v>3585353.66970334</v>
      </c>
      <c r="E58" t="n">
        <v>1367083.64318997</v>
      </c>
      <c r="F58" t="n">
        <v>4879980.04245545</v>
      </c>
      <c r="G58" t="n">
        <v>88873363.3675468</v>
      </c>
      <c r="H58" t="n">
        <v>67857713.5007907</v>
      </c>
      <c r="I58" t="n">
        <v>15076422.9838175</v>
      </c>
      <c r="J58" t="n">
        <v>7276218.4290112</v>
      </c>
      <c r="K58" t="n">
        <v>4986182.20205816</v>
      </c>
      <c r="L58" t="n">
        <v>26247352.6098121</v>
      </c>
      <c r="M58" t="n">
        <v>19342212.8356975</v>
      </c>
      <c r="N58" t="n">
        <v>1449291.0095794</v>
      </c>
      <c r="O58" t="n">
        <v>8243179.85084851</v>
      </c>
      <c r="P58" t="n">
        <v>21854655.4975257</v>
      </c>
      <c r="Q58" t="n">
        <v>9981379.27046537</v>
      </c>
      <c r="R58" t="n">
        <v>41240731.9098108</v>
      </c>
      <c r="S58" t="n">
        <v>3518890.17904704</v>
      </c>
      <c r="T58" t="n">
        <v>30767471.3238623</v>
      </c>
      <c r="U58" t="n">
        <v>10114809.7955232</v>
      </c>
      <c r="V58" t="n">
        <v>1547832.41671508</v>
      </c>
      <c r="W58" t="n">
        <v>17274126.2192557</v>
      </c>
      <c r="X58" t="n">
        <v>3061514.74284439</v>
      </c>
      <c r="Y58" t="n">
        <v>2845198.28384671</v>
      </c>
      <c r="Z58" t="n">
        <v>13118286.5365353</v>
      </c>
      <c r="AA58" t="n">
        <v>26884513.1542384</v>
      </c>
      <c r="AB58" t="n">
        <v>442614155.238469</v>
      </c>
      <c r="AC58" t="n">
        <v>168446212.431266</v>
      </c>
      <c r="AD58" t="n">
        <v>157741157.653888</v>
      </c>
      <c r="AE58" t="n">
        <v>251379664.737199</v>
      </c>
      <c r="AF58" t="n">
        <v>665478337.373843</v>
      </c>
      <c r="AG58" t="n">
        <v>170290.278869203</v>
      </c>
      <c r="AH58" t="n">
        <v>1929623.69549214</v>
      </c>
      <c r="AI58" t="n">
        <v>13264031.1875765</v>
      </c>
      <c r="AJ58" t="n">
        <v>87585835.5708782</v>
      </c>
      <c r="AK58" t="n">
        <v>4266143.99293286</v>
      </c>
      <c r="AL58" t="n">
        <v>2568768.15132746</v>
      </c>
      <c r="AM58" t="n">
        <v>43329421.6494344</v>
      </c>
      <c r="AN58" t="n">
        <v>108234957.066921</v>
      </c>
      <c r="AO58" t="n">
        <v>8770330.89384615</v>
      </c>
      <c r="AP58" t="n">
        <v>2398781.41058163</v>
      </c>
      <c r="AQ58" t="n">
        <v>105500061.806053</v>
      </c>
      <c r="AR58" t="n">
        <v>7756570.24715547</v>
      </c>
      <c r="AS58" t="n">
        <v>108074376.865485</v>
      </c>
      <c r="AT58" t="n">
        <v>20848795.8284055</v>
      </c>
      <c r="AU58" t="n">
        <v>83191400.6560057</v>
      </c>
      <c r="AV58" t="n">
        <v>4308205.12820513</v>
      </c>
      <c r="AW58" t="n">
        <v>29952927.498829</v>
      </c>
      <c r="AX58" t="n">
        <v>536718460.05879</v>
      </c>
      <c r="AY58" t="n">
        <v>43661069.3769333</v>
      </c>
      <c r="AZ58" t="n">
        <v>74393725.8091755</v>
      </c>
      <c r="BA58" t="n">
        <v>13650019.8063476</v>
      </c>
      <c r="BB58" t="n">
        <v>129646011.368081</v>
      </c>
      <c r="BC58" t="n">
        <v>130692400.057202</v>
      </c>
      <c r="BD58" t="n">
        <v>192780690.06135</v>
      </c>
      <c r="BE58" t="n">
        <v>18500093.2858465</v>
      </c>
      <c r="BF58" t="n">
        <v>114285344.403376</v>
      </c>
      <c r="BG58" t="n">
        <v>337136861.493218</v>
      </c>
      <c r="BH58" t="n">
        <v>346309991.77099</v>
      </c>
      <c r="BI58" t="n">
        <v>189607422.072027</v>
      </c>
      <c r="BJ58" t="n">
        <v>76090448.1838479</v>
      </c>
      <c r="BK58" t="n">
        <v>12833391.4553516</v>
      </c>
      <c r="BL58" t="n">
        <v>89196443.3219125</v>
      </c>
      <c r="BM58" t="n">
        <v>28730506.8741308</v>
      </c>
      <c r="BN58" t="n">
        <v>361118108.172067</v>
      </c>
      <c r="BO58" t="n">
        <v>376106842.323339</v>
      </c>
      <c r="BP58" t="n">
        <v>2007295.98362753</v>
      </c>
      <c r="BQ58" t="n">
        <v>98386386.5612358</v>
      </c>
      <c r="BR58" t="n">
        <v>4465320.67991107</v>
      </c>
      <c r="BS58" t="n">
        <v>201532939.241798</v>
      </c>
      <c r="BT58" t="n">
        <v>12063359.2512919</v>
      </c>
      <c r="BU58" t="n">
        <v>40681403.1218477</v>
      </c>
      <c r="BV58" t="n">
        <v>100791901.480999</v>
      </c>
      <c r="BW58" t="n">
        <v>0</v>
      </c>
      <c r="BX58" t="n">
        <v>0</v>
      </c>
      <c r="BY58" t="n">
        <v>863480857.65643</v>
      </c>
      <c r="BZ58" t="n">
        <v>0</v>
      </c>
      <c r="CA58" t="n">
        <v>8969005.633601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154</v>
      </c>
      <c r="B59" t="n">
        <v>8513176.92482244</v>
      </c>
      <c r="C59" t="n">
        <v>273215.644172503</v>
      </c>
      <c r="D59" t="n">
        <v>2700409.30612735</v>
      </c>
      <c r="E59" t="n">
        <v>5800355.57664819</v>
      </c>
      <c r="F59" t="n">
        <v>8607686.88179954</v>
      </c>
      <c r="G59" t="n">
        <v>7950718.82487644</v>
      </c>
      <c r="H59" t="n">
        <v>34882685.197144</v>
      </c>
      <c r="I59" t="n">
        <v>1616028.21094979</v>
      </c>
      <c r="J59" t="n">
        <v>1538899.57861157</v>
      </c>
      <c r="K59" t="n">
        <v>2134521.22649408</v>
      </c>
      <c r="L59" t="n">
        <v>2895781.93278917</v>
      </c>
      <c r="M59" t="n">
        <v>4247062.82618151</v>
      </c>
      <c r="N59" t="n">
        <v>80076.4842105193</v>
      </c>
      <c r="O59" t="n">
        <v>1432749.52006583</v>
      </c>
      <c r="P59" t="n">
        <v>20968998.6855221</v>
      </c>
      <c r="Q59" t="n">
        <v>2130657.21258047</v>
      </c>
      <c r="R59" t="n">
        <v>2617445.90108004</v>
      </c>
      <c r="S59" t="n">
        <v>470161.959469211</v>
      </c>
      <c r="T59" t="n">
        <v>6270255.99547856</v>
      </c>
      <c r="U59" t="n">
        <v>445232.547468688</v>
      </c>
      <c r="V59" t="n">
        <v>5696124.82658575</v>
      </c>
      <c r="W59" t="n">
        <v>3003422.17826494</v>
      </c>
      <c r="X59" t="n">
        <v>227874.533404549</v>
      </c>
      <c r="Y59" t="n">
        <v>5874613.00831898</v>
      </c>
      <c r="Z59" t="n">
        <v>3264810.76696274</v>
      </c>
      <c r="AA59" t="n">
        <v>2770562.28396825</v>
      </c>
      <c r="AB59" t="n">
        <v>36147058.0530494</v>
      </c>
      <c r="AC59" t="n">
        <v>2144794.33255135</v>
      </c>
      <c r="AD59" t="n">
        <v>1941712.28400175</v>
      </c>
      <c r="AE59" t="n">
        <v>12197404.8493381</v>
      </c>
      <c r="AF59" t="n">
        <v>11709419.1664487</v>
      </c>
      <c r="AG59" t="n">
        <v>1899347.04255657</v>
      </c>
      <c r="AH59" t="n">
        <v>18758767.0568256</v>
      </c>
      <c r="AI59" t="n">
        <v>33966230.5218757</v>
      </c>
      <c r="AJ59" t="n">
        <v>86815790.1847101</v>
      </c>
      <c r="AK59" t="n">
        <v>735752.818578932</v>
      </c>
      <c r="AL59" t="n">
        <v>134555.731484193</v>
      </c>
      <c r="AM59" t="n">
        <v>4934514.56233932</v>
      </c>
      <c r="AN59" t="n">
        <v>17218403.1312712</v>
      </c>
      <c r="AO59" t="n">
        <v>582811.797368832</v>
      </c>
      <c r="AP59" t="n">
        <v>259519.339015501</v>
      </c>
      <c r="AQ59" t="n">
        <v>10350324.5547517</v>
      </c>
      <c r="AR59" t="n">
        <v>1843872.37400705</v>
      </c>
      <c r="AS59" t="n">
        <v>5215024.69581115</v>
      </c>
      <c r="AT59" t="n">
        <v>1415377.13041517</v>
      </c>
      <c r="AU59" t="n">
        <v>3969380.18695821</v>
      </c>
      <c r="AV59" t="n">
        <v>50365.1348106556</v>
      </c>
      <c r="AW59" t="n">
        <v>9026754.51191114</v>
      </c>
      <c r="AX59" t="n">
        <v>2561040.75906106</v>
      </c>
      <c r="AY59" t="n">
        <v>12804350.369259</v>
      </c>
      <c r="AZ59" t="n">
        <v>2149104.4615752</v>
      </c>
      <c r="BA59" t="n">
        <v>1455234.2424046</v>
      </c>
      <c r="BB59" t="n">
        <v>10700034.6710915</v>
      </c>
      <c r="BC59" t="n">
        <v>18254733.101143</v>
      </c>
      <c r="BD59" t="n">
        <v>14170092.3477911</v>
      </c>
      <c r="BE59" t="n">
        <v>4585103.38290374</v>
      </c>
      <c r="BF59" t="n">
        <v>1602775.37084353</v>
      </c>
      <c r="BG59" t="n">
        <v>8168559.38400778</v>
      </c>
      <c r="BH59" t="n">
        <v>5586488.97922844</v>
      </c>
      <c r="BI59" t="n">
        <v>1083923.81229951</v>
      </c>
      <c r="BJ59" t="n">
        <v>874395.446245497</v>
      </c>
      <c r="BK59" t="n">
        <v>569902.089332219</v>
      </c>
      <c r="BL59" t="n">
        <v>3415499.7969676</v>
      </c>
      <c r="BM59" t="n">
        <v>6232270.61207031</v>
      </c>
      <c r="BN59" t="n">
        <v>19728855.5497975</v>
      </c>
      <c r="BO59" t="n">
        <v>5179610.80995004</v>
      </c>
      <c r="BP59" t="n">
        <v>858185.353385745</v>
      </c>
      <c r="BQ59" t="n">
        <v>785717.565540653</v>
      </c>
      <c r="BR59" t="n">
        <v>455763.351806919</v>
      </c>
      <c r="BS59" t="n">
        <v>23751923.039037</v>
      </c>
      <c r="BT59" t="n">
        <v>966660.106555219</v>
      </c>
      <c r="BU59" t="n">
        <v>173854362.588158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339297946.632944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155</v>
      </c>
      <c r="B60" t="n">
        <v>2925424.47409477</v>
      </c>
      <c r="C60" t="n">
        <v>476659.864236041</v>
      </c>
      <c r="D60" t="n">
        <v>1186380.2345615</v>
      </c>
      <c r="E60" t="n">
        <v>2357650.31262853</v>
      </c>
      <c r="F60" t="n">
        <v>1504142.61652322</v>
      </c>
      <c r="G60" t="n">
        <v>48014709.2647258</v>
      </c>
      <c r="H60" t="n">
        <v>16746168.6324601</v>
      </c>
      <c r="I60" t="n">
        <v>5661103.78133981</v>
      </c>
      <c r="J60" t="n">
        <v>2123897.12318276</v>
      </c>
      <c r="K60" t="n">
        <v>3274402.3406321</v>
      </c>
      <c r="L60" t="n">
        <v>6334715.59398997</v>
      </c>
      <c r="M60" t="n">
        <v>9347636.94697233</v>
      </c>
      <c r="N60" t="n">
        <v>946633.368293253</v>
      </c>
      <c r="O60" t="n">
        <v>2197952.92306109</v>
      </c>
      <c r="P60" t="n">
        <v>19414153.0030752</v>
      </c>
      <c r="Q60" t="n">
        <v>6255256.06653494</v>
      </c>
      <c r="R60" t="n">
        <v>6431010.88672469</v>
      </c>
      <c r="S60" t="n">
        <v>2201821.88427901</v>
      </c>
      <c r="T60" t="n">
        <v>5180493.24360239</v>
      </c>
      <c r="U60" t="n">
        <v>1809341.5663997</v>
      </c>
      <c r="V60" t="n">
        <v>528787.033770715</v>
      </c>
      <c r="W60" t="n">
        <v>5641309.62470295</v>
      </c>
      <c r="X60" t="n">
        <v>357122.52766781</v>
      </c>
      <c r="Y60" t="n">
        <v>8021647.45125552</v>
      </c>
      <c r="Z60" t="n">
        <v>8118630.18655785</v>
      </c>
      <c r="AA60" t="n">
        <v>6885437.1783663</v>
      </c>
      <c r="AB60" t="n">
        <v>58845796.0711683</v>
      </c>
      <c r="AC60" t="n">
        <v>3623708.28573556</v>
      </c>
      <c r="AD60" t="n">
        <v>2826612.53895457</v>
      </c>
      <c r="AE60" t="n">
        <v>6261684.07306398</v>
      </c>
      <c r="AF60" t="n">
        <v>19751213.1617168</v>
      </c>
      <c r="AG60" t="n">
        <v>139386.630732023</v>
      </c>
      <c r="AH60" t="n">
        <v>6463576.1967839</v>
      </c>
      <c r="AI60" t="n">
        <v>2260433.55938789</v>
      </c>
      <c r="AJ60" t="n">
        <v>1845020.36919706</v>
      </c>
      <c r="AK60" t="n">
        <v>271230.410364176</v>
      </c>
      <c r="AL60" t="n">
        <v>376367.038471055</v>
      </c>
      <c r="AM60" t="n">
        <v>2745700.01852351</v>
      </c>
      <c r="AN60" t="n">
        <v>2682964.62391709</v>
      </c>
      <c r="AO60" t="n">
        <v>3279237.87787897</v>
      </c>
      <c r="AP60" t="n">
        <v>483985.740634337</v>
      </c>
      <c r="AQ60" t="n">
        <v>8840239.93768119</v>
      </c>
      <c r="AR60" t="n">
        <v>2730071.97335673</v>
      </c>
      <c r="AS60" t="n">
        <v>15617088.1055077</v>
      </c>
      <c r="AT60" t="n">
        <v>5595869.11181374</v>
      </c>
      <c r="AU60" t="n">
        <v>33698088.8846636</v>
      </c>
      <c r="AV60" t="n">
        <v>8742348.54146918</v>
      </c>
      <c r="AW60" t="n">
        <v>5901164.62870091</v>
      </c>
      <c r="AX60" t="n">
        <v>23681731.6658015</v>
      </c>
      <c r="AY60" t="n">
        <v>2538890.98766743</v>
      </c>
      <c r="AZ60" t="n">
        <v>6442137.47838954</v>
      </c>
      <c r="BA60" t="n">
        <v>4399161.96223896</v>
      </c>
      <c r="BB60" t="n">
        <v>21511952.4226987</v>
      </c>
      <c r="BC60" t="n">
        <v>25380497.3686247</v>
      </c>
      <c r="BD60" t="n">
        <v>27447693.6602586</v>
      </c>
      <c r="BE60" t="n">
        <v>1942731.27549986</v>
      </c>
      <c r="BF60" t="n">
        <v>962440.400640904</v>
      </c>
      <c r="BG60" t="n">
        <v>21215890.5065392</v>
      </c>
      <c r="BH60" t="n">
        <v>54044710.5797703</v>
      </c>
      <c r="BI60" t="n">
        <v>7344730.74508434</v>
      </c>
      <c r="BJ60" t="n">
        <v>3356131.01324581</v>
      </c>
      <c r="BK60" t="n">
        <v>1329005.80894076</v>
      </c>
      <c r="BL60" t="n">
        <v>6124325.21695028</v>
      </c>
      <c r="BM60" t="n">
        <v>8352816.72149296</v>
      </c>
      <c r="BN60" t="n">
        <v>9780592.02204188</v>
      </c>
      <c r="BO60" t="n">
        <v>18830759.2823858</v>
      </c>
      <c r="BP60" t="n">
        <v>0</v>
      </c>
      <c r="BQ60" t="n">
        <v>641696.974488983</v>
      </c>
      <c r="BR60" t="n">
        <v>410045.390101273</v>
      </c>
      <c r="BS60" t="n">
        <v>80663163.0167737</v>
      </c>
      <c r="BT60" t="n">
        <v>4451947.67270726</v>
      </c>
      <c r="BU60" t="n">
        <v>389421027.838574</v>
      </c>
      <c r="BV60" t="n">
        <v>0</v>
      </c>
      <c r="BW60" t="n">
        <v>0</v>
      </c>
      <c r="BX60" t="n">
        <v>0</v>
      </c>
      <c r="BY60" t="n">
        <v>81976536.8300686</v>
      </c>
      <c r="BZ60" t="n">
        <v>0</v>
      </c>
      <c r="CA60" t="n">
        <v>58171825.6285984</v>
      </c>
      <c r="CB60" t="n">
        <v>-23139020.6105843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156</v>
      </c>
      <c r="B61" t="n">
        <v>3281967.4280211</v>
      </c>
      <c r="C61" t="n">
        <v>143456.321804534</v>
      </c>
      <c r="D61" t="n">
        <v>4246587.78076105</v>
      </c>
      <c r="E61" t="n">
        <v>2281526.42138632</v>
      </c>
      <c r="F61" t="n">
        <v>396487.175344529</v>
      </c>
      <c r="G61" t="n">
        <v>15453043.0752334</v>
      </c>
      <c r="H61" t="n">
        <v>13149971.5726602</v>
      </c>
      <c r="I61" t="n">
        <v>3762599.62396176</v>
      </c>
      <c r="J61" t="n">
        <v>1566909.69978034</v>
      </c>
      <c r="K61" t="n">
        <v>2202028.50244838</v>
      </c>
      <c r="L61" t="n">
        <v>5050725.33677991</v>
      </c>
      <c r="M61" t="n">
        <v>11611185.3229393</v>
      </c>
      <c r="N61" t="n">
        <v>130521.574896804</v>
      </c>
      <c r="O61" t="n">
        <v>863176.519073675</v>
      </c>
      <c r="P61" t="n">
        <v>5062838.23698252</v>
      </c>
      <c r="Q61" t="n">
        <v>10454066.7901195</v>
      </c>
      <c r="R61" t="n">
        <v>5068160.29421599</v>
      </c>
      <c r="S61" t="n">
        <v>611444.118841466</v>
      </c>
      <c r="T61" t="n">
        <v>4864918.84164594</v>
      </c>
      <c r="U61" t="n">
        <v>1088454.71703385</v>
      </c>
      <c r="V61" t="n">
        <v>65046.5138588318</v>
      </c>
      <c r="W61" t="n">
        <v>2224183.68175547</v>
      </c>
      <c r="X61" t="n">
        <v>408073.950378089</v>
      </c>
      <c r="Y61" t="n">
        <v>6789173.57881238</v>
      </c>
      <c r="Z61" t="n">
        <v>679653.502250982</v>
      </c>
      <c r="AA61" t="n">
        <v>3421033.00488037</v>
      </c>
      <c r="AB61" t="n">
        <v>61002501.2363617</v>
      </c>
      <c r="AC61" t="n">
        <v>21469623.3083485</v>
      </c>
      <c r="AD61" t="n">
        <v>3242410.4049237</v>
      </c>
      <c r="AE61" t="n">
        <v>14127705.8566146</v>
      </c>
      <c r="AF61" t="n">
        <v>22434513.9032598</v>
      </c>
      <c r="AG61" t="n">
        <v>132365.244430596</v>
      </c>
      <c r="AH61" t="n">
        <v>7488325.91475989</v>
      </c>
      <c r="AI61" t="n">
        <v>689717.417238847</v>
      </c>
      <c r="AJ61" t="n">
        <v>5178746.32572688</v>
      </c>
      <c r="AK61" t="n">
        <v>340562.34279704</v>
      </c>
      <c r="AL61" t="n">
        <v>62864.6621692016</v>
      </c>
      <c r="AM61" t="n">
        <v>980625.407717035</v>
      </c>
      <c r="AN61" t="n">
        <v>2416612.96775383</v>
      </c>
      <c r="AO61" t="n">
        <v>4998049.01629839</v>
      </c>
      <c r="AP61" t="n">
        <v>290711.487441437</v>
      </c>
      <c r="AQ61" t="n">
        <v>9710937.39554441</v>
      </c>
      <c r="AR61" t="n">
        <v>4931040.1113</v>
      </c>
      <c r="AS61" t="n">
        <v>20424226.7324463</v>
      </c>
      <c r="AT61" t="n">
        <v>3780843.30633138</v>
      </c>
      <c r="AU61" t="n">
        <v>16179380.9226978</v>
      </c>
      <c r="AV61" t="n">
        <v>4695365.06207849</v>
      </c>
      <c r="AW61" t="n">
        <v>2378528.053742</v>
      </c>
      <c r="AX61" t="n">
        <v>6990549.41088556</v>
      </c>
      <c r="AY61" t="n">
        <v>1613143.71220775</v>
      </c>
      <c r="AZ61" t="n">
        <v>8928415.02206572</v>
      </c>
      <c r="BA61" t="n">
        <v>6952823.14235012</v>
      </c>
      <c r="BB61" t="n">
        <v>14321014.7557086</v>
      </c>
      <c r="BC61" t="n">
        <v>4651671.47718578</v>
      </c>
      <c r="BD61" t="n">
        <v>49743798.5371416</v>
      </c>
      <c r="BE61" t="n">
        <v>1969128.11758268</v>
      </c>
      <c r="BF61" t="n">
        <v>3466042.84500104</v>
      </c>
      <c r="BG61" t="n">
        <v>16953572.5024624</v>
      </c>
      <c r="BH61" t="n">
        <v>13943218.5806507</v>
      </c>
      <c r="BI61" t="n">
        <v>4327413.84757333</v>
      </c>
      <c r="BJ61" t="n">
        <v>6490123.59303598</v>
      </c>
      <c r="BK61" t="n">
        <v>276685.661246943</v>
      </c>
      <c r="BL61" t="n">
        <v>3201141.83538156</v>
      </c>
      <c r="BM61" t="n">
        <v>6466514.59815921</v>
      </c>
      <c r="BN61" t="n">
        <v>20002897.0098139</v>
      </c>
      <c r="BO61" t="n">
        <v>12508033.1839437</v>
      </c>
      <c r="BP61" t="n">
        <v>23280461.9902449</v>
      </c>
      <c r="BQ61" t="n">
        <v>56258820.3871867</v>
      </c>
      <c r="BR61" t="n">
        <v>601525.256493006</v>
      </c>
      <c r="BS61" t="n">
        <v>182442984.116875</v>
      </c>
      <c r="BT61" t="n">
        <v>15873751.037956</v>
      </c>
      <c r="BU61" t="n">
        <v>0</v>
      </c>
      <c r="BV61" t="n">
        <v>0</v>
      </c>
      <c r="BW61" t="n">
        <v>52242596.5863281</v>
      </c>
      <c r="BX61" t="n">
        <v>288014381.526822</v>
      </c>
      <c r="BY61" t="n">
        <v>0</v>
      </c>
      <c r="BZ61" t="n">
        <v>0</v>
      </c>
      <c r="CA61" t="n">
        <v>73614455.887345</v>
      </c>
      <c r="CB61" t="n">
        <v>-120876788.854168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4742255.42257296</v>
      </c>
      <c r="CN61" t="n">
        <v>31012459.1349268</v>
      </c>
    </row>
    <row r="62">
      <c r="A62" t="s">
        <v>157</v>
      </c>
      <c r="B62" t="n">
        <v>4743402.42332534</v>
      </c>
      <c r="C62" t="n">
        <v>741681.919613266</v>
      </c>
      <c r="D62" t="n">
        <v>1294947.82802845</v>
      </c>
      <c r="E62" t="n">
        <v>2444407.87987736</v>
      </c>
      <c r="F62" t="n">
        <v>2351904.33273361</v>
      </c>
      <c r="G62" t="n">
        <v>32810004.3019514</v>
      </c>
      <c r="H62" t="n">
        <v>41873119.6407249</v>
      </c>
      <c r="I62" t="n">
        <v>7117281.41769663</v>
      </c>
      <c r="J62" t="n">
        <v>3386913.48373363</v>
      </c>
      <c r="K62" t="n">
        <v>5761529.41048225</v>
      </c>
      <c r="L62" t="n">
        <v>5716802.05195946</v>
      </c>
      <c r="M62" t="n">
        <v>9887601.99549071</v>
      </c>
      <c r="N62" t="n">
        <v>661600.413163804</v>
      </c>
      <c r="O62" t="n">
        <v>4248273.1296909</v>
      </c>
      <c r="P62" t="n">
        <v>16457839.5605029</v>
      </c>
      <c r="Q62" t="n">
        <v>6940562.09226556</v>
      </c>
      <c r="R62" t="n">
        <v>13580165.000588</v>
      </c>
      <c r="S62" t="n">
        <v>1932991.32113279</v>
      </c>
      <c r="T62" t="n">
        <v>15785986.4775314</v>
      </c>
      <c r="U62" t="n">
        <v>2809884.94656185</v>
      </c>
      <c r="V62" t="n">
        <v>383793.011736197</v>
      </c>
      <c r="W62" t="n">
        <v>6110443.28107092</v>
      </c>
      <c r="X62" t="n">
        <v>534514.98564779</v>
      </c>
      <c r="Y62" t="n">
        <v>10965803.0465147</v>
      </c>
      <c r="Z62" t="n">
        <v>7581651.24971748</v>
      </c>
      <c r="AA62" t="n">
        <v>8741045.98278663</v>
      </c>
      <c r="AB62" t="n">
        <v>149367473.292103</v>
      </c>
      <c r="AC62" t="n">
        <v>43923276.1918788</v>
      </c>
      <c r="AD62" t="n">
        <v>13314653.8066291</v>
      </c>
      <c r="AE62" t="n">
        <v>15333340.0583705</v>
      </c>
      <c r="AF62" t="n">
        <v>89273031.0978338</v>
      </c>
      <c r="AG62" t="n">
        <v>154439.687756417</v>
      </c>
      <c r="AH62" t="n">
        <v>4327077.2504401</v>
      </c>
      <c r="AI62" t="n">
        <v>7121837.22266635</v>
      </c>
      <c r="AJ62" t="n">
        <v>8917572.78756996</v>
      </c>
      <c r="AK62" t="n">
        <v>735227.145785561</v>
      </c>
      <c r="AL62" t="n">
        <v>1967164.77058282</v>
      </c>
      <c r="AM62" t="n">
        <v>3591291.56808577</v>
      </c>
      <c r="AN62" t="n">
        <v>6586043.68181746</v>
      </c>
      <c r="AO62" t="n">
        <v>5635571.85877184</v>
      </c>
      <c r="AP62" t="n">
        <v>1048179.08997527</v>
      </c>
      <c r="AQ62" t="n">
        <v>31697204.6072847</v>
      </c>
      <c r="AR62" t="n">
        <v>6533555.93263106</v>
      </c>
      <c r="AS62" t="n">
        <v>47523295.6498486</v>
      </c>
      <c r="AT62" t="n">
        <v>7593805.39088251</v>
      </c>
      <c r="AU62" t="n">
        <v>31227842.7053557</v>
      </c>
      <c r="AV62" t="n">
        <v>4318159.96212881</v>
      </c>
      <c r="AW62" t="n">
        <v>2549205.16049817</v>
      </c>
      <c r="AX62" t="n">
        <v>31385604.8030285</v>
      </c>
      <c r="AY62" t="n">
        <v>9017736.45462204</v>
      </c>
      <c r="AZ62" t="n">
        <v>8123955.59639074</v>
      </c>
      <c r="BA62" t="n">
        <v>9799823.7141378</v>
      </c>
      <c r="BB62" t="n">
        <v>68487186.916632</v>
      </c>
      <c r="BC62" t="n">
        <v>38164141.373756</v>
      </c>
      <c r="BD62" t="n">
        <v>56846291.4151901</v>
      </c>
      <c r="BE62" t="n">
        <v>3885044.44723345</v>
      </c>
      <c r="BF62" t="n">
        <v>5533654.63924427</v>
      </c>
      <c r="BG62" t="n">
        <v>42846709.2878953</v>
      </c>
      <c r="BH62" t="n">
        <v>43975079.1844043</v>
      </c>
      <c r="BI62" t="n">
        <v>14052811.8072991</v>
      </c>
      <c r="BJ62" t="n">
        <v>8998976.94184607</v>
      </c>
      <c r="BK62" t="n">
        <v>1678482.94965362</v>
      </c>
      <c r="BL62" t="n">
        <v>8053158.12405297</v>
      </c>
      <c r="BM62" t="n">
        <v>18625901.9406375</v>
      </c>
      <c r="BN62" t="n">
        <v>33750351.1216333</v>
      </c>
      <c r="BO62" t="n">
        <v>40055930.4461469</v>
      </c>
      <c r="BP62" t="n">
        <v>99982420.2276434</v>
      </c>
      <c r="BQ62" t="n">
        <v>24064141.4670542</v>
      </c>
      <c r="BR62" t="n">
        <v>2680215.72683761</v>
      </c>
      <c r="BS62" t="n">
        <v>139395934.288366</v>
      </c>
      <c r="BT62" t="n">
        <v>24218006.5213121</v>
      </c>
      <c r="BU62" t="n">
        <v>83587852.1931742</v>
      </c>
      <c r="BV62" t="n">
        <v>0</v>
      </c>
      <c r="BW62" t="n">
        <v>29165533.3332483</v>
      </c>
      <c r="BX62" t="n">
        <v>307773248.054206</v>
      </c>
      <c r="BY62" t="n">
        <v>3456658.52884891</v>
      </c>
      <c r="BZ62" t="n">
        <v>0</v>
      </c>
      <c r="CA62" t="n">
        <v>417399039.396261</v>
      </c>
      <c r="CB62" t="n">
        <v>-371984862.174315</v>
      </c>
      <c r="CC62" t="n">
        <v>0</v>
      </c>
      <c r="CD62" t="n">
        <v>0</v>
      </c>
      <c r="CE62" t="n">
        <v>0</v>
      </c>
      <c r="CF62" t="n">
        <v>50434611.1138006</v>
      </c>
      <c r="CG62" t="n">
        <v>0</v>
      </c>
      <c r="CH62" t="n">
        <v>0</v>
      </c>
      <c r="CI62" t="n">
        <v>0</v>
      </c>
      <c r="CJ62" t="n">
        <v>130565936.103084</v>
      </c>
      <c r="CK62" t="n">
        <v>0</v>
      </c>
      <c r="CL62" t="n">
        <v>0</v>
      </c>
      <c r="CM62" t="n">
        <v>0</v>
      </c>
      <c r="CN62" t="n">
        <v>24473890.9979975</v>
      </c>
    </row>
    <row r="63">
      <c r="A63" t="s">
        <v>158</v>
      </c>
      <c r="B63" t="n">
        <v>0</v>
      </c>
      <c r="C63" t="n">
        <v>0</v>
      </c>
      <c r="D63" t="n">
        <v>27653914.1572382</v>
      </c>
      <c r="E63" t="n">
        <v>25579675.586848</v>
      </c>
      <c r="F63" t="n">
        <v>17617867.2238722</v>
      </c>
      <c r="G63" t="n">
        <v>409395.504900605</v>
      </c>
      <c r="H63" t="n">
        <v>27049571.9528913</v>
      </c>
      <c r="I63" t="n">
        <v>5778790.02513147</v>
      </c>
      <c r="J63" t="n">
        <v>9586922.42825628</v>
      </c>
      <c r="K63" t="n">
        <v>7030949.64723456</v>
      </c>
      <c r="L63" t="n">
        <v>15314424.9996096</v>
      </c>
      <c r="M63" t="n">
        <v>74812057.1105317</v>
      </c>
      <c r="N63" t="n">
        <v>1233860.17661362</v>
      </c>
      <c r="O63" t="n">
        <v>17588294.376088</v>
      </c>
      <c r="P63" t="n">
        <v>63601904.2352777</v>
      </c>
      <c r="Q63" t="n">
        <v>17640926.8796076</v>
      </c>
      <c r="R63" t="n">
        <v>9949432.3541661</v>
      </c>
      <c r="S63" t="n">
        <v>5624173.33367139</v>
      </c>
      <c r="T63" t="n">
        <v>99565821.5752181</v>
      </c>
      <c r="U63" t="n">
        <v>10253936.804135</v>
      </c>
      <c r="V63" t="n">
        <v>2090512.25302168</v>
      </c>
      <c r="W63" t="n">
        <v>16477412.9364537</v>
      </c>
      <c r="X63" t="n">
        <v>427674.795123371</v>
      </c>
      <c r="Y63" t="n">
        <v>55915730.8641184</v>
      </c>
      <c r="Z63" t="n">
        <v>37406298.5400468</v>
      </c>
      <c r="AA63" t="n">
        <v>11794013.9131603</v>
      </c>
      <c r="AB63" t="n">
        <v>291716541.396947</v>
      </c>
      <c r="AC63" t="n">
        <v>9566430.29539323</v>
      </c>
      <c r="AD63" t="n">
        <v>17553619.8522495</v>
      </c>
      <c r="AE63" t="n">
        <v>96531100.6220029</v>
      </c>
      <c r="AF63" t="n">
        <v>103341742.088649</v>
      </c>
      <c r="AG63" t="n">
        <v>1816166.84209554</v>
      </c>
      <c r="AH63" t="n">
        <v>82563.4561409302</v>
      </c>
      <c r="AI63" t="n">
        <v>15217972.1401486</v>
      </c>
      <c r="AJ63" t="n">
        <v>29454059.6924466</v>
      </c>
      <c r="AK63" t="n">
        <v>289231.803465212</v>
      </c>
      <c r="AL63" t="n">
        <v>12611.2726532179</v>
      </c>
      <c r="AM63" t="n">
        <v>26173628.1296355</v>
      </c>
      <c r="AN63" t="n">
        <v>11473293.8659942</v>
      </c>
      <c r="AO63" t="n">
        <v>2764988.30254324</v>
      </c>
      <c r="AP63" t="n">
        <v>228376.949357127</v>
      </c>
      <c r="AQ63" t="n">
        <v>10063433.0427954</v>
      </c>
      <c r="AR63" t="n">
        <v>1431477.43405796</v>
      </c>
      <c r="AS63" t="n">
        <v>18238637.9551728</v>
      </c>
      <c r="AT63" t="n">
        <v>6732972.39852801</v>
      </c>
      <c r="AU63" t="n">
        <v>13632175.9719452</v>
      </c>
      <c r="AV63" t="n">
        <v>3970243.42895684</v>
      </c>
      <c r="AW63" t="n">
        <v>71991.9084378642</v>
      </c>
      <c r="AX63" t="n">
        <v>37913569.9434725</v>
      </c>
      <c r="AY63" t="n">
        <v>29726634.860711</v>
      </c>
      <c r="AZ63" t="n">
        <v>9485628.44338513</v>
      </c>
      <c r="BA63" t="n">
        <v>4383042.57694052</v>
      </c>
      <c r="BB63" t="n">
        <v>23026511.7184274</v>
      </c>
      <c r="BC63" t="n">
        <v>110827.661433476</v>
      </c>
      <c r="BD63" t="n">
        <v>60961866.1965182</v>
      </c>
      <c r="BE63" t="n">
        <v>13193352.6897587</v>
      </c>
      <c r="BF63" t="n">
        <v>14290104.540235</v>
      </c>
      <c r="BG63" t="n">
        <v>188779453.374713</v>
      </c>
      <c r="BH63" t="n">
        <v>30284457.4800399</v>
      </c>
      <c r="BI63" t="n">
        <v>25986516.6166779</v>
      </c>
      <c r="BJ63" t="n">
        <v>8160305.52879885</v>
      </c>
      <c r="BK63" t="n">
        <v>2007440.75861098</v>
      </c>
      <c r="BL63" t="n">
        <v>8165381.35439985</v>
      </c>
      <c r="BM63" t="n">
        <v>119730489.656611</v>
      </c>
      <c r="BN63" t="n">
        <v>187655433.458542</v>
      </c>
      <c r="BO63" t="n">
        <v>39659974.3816568</v>
      </c>
      <c r="BP63" t="n">
        <v>0</v>
      </c>
      <c r="BQ63" t="n">
        <v>0</v>
      </c>
      <c r="BR63" t="n">
        <v>912696.070138974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14789709.6024972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159</v>
      </c>
      <c r="B64" t="n">
        <v>3107076.84815733</v>
      </c>
      <c r="C64" t="n">
        <v>145061.661218591</v>
      </c>
      <c r="D64" t="n">
        <v>483126.344328201</v>
      </c>
      <c r="E64" t="n">
        <v>2105785.06279224</v>
      </c>
      <c r="F64" t="n">
        <v>6247545.28283934</v>
      </c>
      <c r="G64" t="n">
        <v>68820525.5422769</v>
      </c>
      <c r="H64" t="n">
        <v>18165167.4069115</v>
      </c>
      <c r="I64" t="n">
        <v>7314528.82778694</v>
      </c>
      <c r="J64" t="n">
        <v>4426177.11863128</v>
      </c>
      <c r="K64" t="n">
        <v>22961023.381561</v>
      </c>
      <c r="L64" t="n">
        <v>28359178.3866426</v>
      </c>
      <c r="M64" t="n">
        <v>17342527.5542544</v>
      </c>
      <c r="N64" t="n">
        <v>612439.11800772</v>
      </c>
      <c r="O64" t="n">
        <v>3750863.24582291</v>
      </c>
      <c r="P64" t="n">
        <v>24385500.5153591</v>
      </c>
      <c r="Q64" t="n">
        <v>25451942.173119</v>
      </c>
      <c r="R64" t="n">
        <v>6885728.91501975</v>
      </c>
      <c r="S64" t="n">
        <v>2159326.51636232</v>
      </c>
      <c r="T64" t="n">
        <v>13257593.9913765</v>
      </c>
      <c r="U64" t="n">
        <v>2631252.4079655</v>
      </c>
      <c r="V64" t="n">
        <v>1969795.32836473</v>
      </c>
      <c r="W64" t="n">
        <v>9253650.28294025</v>
      </c>
      <c r="X64" t="n">
        <v>2611879.68932293</v>
      </c>
      <c r="Y64" t="n">
        <v>22923291.2957655</v>
      </c>
      <c r="Z64" t="n">
        <v>9067040.93179306</v>
      </c>
      <c r="AA64" t="n">
        <v>10671160.7281171</v>
      </c>
      <c r="AB64" t="n">
        <v>195476138.609105</v>
      </c>
      <c r="AC64" t="n">
        <v>29787997.7409295</v>
      </c>
      <c r="AD64" t="n">
        <v>9676779.60149553</v>
      </c>
      <c r="AE64" t="n">
        <v>37029212.1487441</v>
      </c>
      <c r="AF64" t="n">
        <v>70231695.8941417</v>
      </c>
      <c r="AG64" t="n">
        <v>1199936.9224693</v>
      </c>
      <c r="AH64" t="n">
        <v>4752030.42752374</v>
      </c>
      <c r="AI64" t="n">
        <v>51479980.0845074</v>
      </c>
      <c r="AJ64" t="n">
        <v>63849284.3310684</v>
      </c>
      <c r="AK64" t="n">
        <v>7925591.56250597</v>
      </c>
      <c r="AL64" t="n">
        <v>9453202.70928527</v>
      </c>
      <c r="AM64" t="n">
        <v>33016147.1389269</v>
      </c>
      <c r="AN64" t="n">
        <v>36363876.9354878</v>
      </c>
      <c r="AO64" t="n">
        <v>11667179.0685984</v>
      </c>
      <c r="AP64" t="n">
        <v>668186.135922098</v>
      </c>
      <c r="AQ64" t="n">
        <v>78797767.5808152</v>
      </c>
      <c r="AR64" t="n">
        <v>8241909.5071605</v>
      </c>
      <c r="AS64" t="n">
        <v>55516013.8056373</v>
      </c>
      <c r="AT64" t="n">
        <v>5998695.17147993</v>
      </c>
      <c r="AU64" t="n">
        <v>24935455.2976946</v>
      </c>
      <c r="AV64" t="n">
        <v>428694.380735343</v>
      </c>
      <c r="AW64" t="n">
        <v>7914240.45889474</v>
      </c>
      <c r="AX64" t="n">
        <v>217888224.795912</v>
      </c>
      <c r="AY64" t="n">
        <v>52985119.7685633</v>
      </c>
      <c r="AZ64" t="n">
        <v>19770825.3794207</v>
      </c>
      <c r="BA64" t="n">
        <v>27025019.0935093</v>
      </c>
      <c r="BB64" t="n">
        <v>71350052.328493</v>
      </c>
      <c r="BC64" t="n">
        <v>33647461.3146855</v>
      </c>
      <c r="BD64" t="n">
        <v>236318277.47653</v>
      </c>
      <c r="BE64" t="n">
        <v>16487037.7478417</v>
      </c>
      <c r="BF64" t="n">
        <v>9026964.70047745</v>
      </c>
      <c r="BG64" t="n">
        <v>104052569.474463</v>
      </c>
      <c r="BH64" t="n">
        <v>102803622.858555</v>
      </c>
      <c r="BI64" t="n">
        <v>35735545.8856198</v>
      </c>
      <c r="BJ64" t="n">
        <v>12304755.7365539</v>
      </c>
      <c r="BK64" t="n">
        <v>2484389.80523652</v>
      </c>
      <c r="BL64" t="n">
        <v>8003596.640932</v>
      </c>
      <c r="BM64" t="n">
        <v>29847535.028693</v>
      </c>
      <c r="BN64" t="n">
        <v>38708666.311636</v>
      </c>
      <c r="BO64" t="n">
        <v>56077420.2630584</v>
      </c>
      <c r="BP64" t="n">
        <v>29905391.2476831</v>
      </c>
      <c r="BQ64" t="n">
        <v>47222803.4583514</v>
      </c>
      <c r="BR64" t="n">
        <v>2781269.20089559</v>
      </c>
      <c r="BS64" t="n">
        <v>207825854.297099</v>
      </c>
      <c r="BT64" t="n">
        <v>22252121.384769</v>
      </c>
      <c r="BU64" t="n">
        <v>227615884.281494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14529543.1557804</v>
      </c>
      <c r="CB64" t="n">
        <v>-11014956.8905528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160</v>
      </c>
      <c r="B65" t="n">
        <v>808893.109292437</v>
      </c>
      <c r="C65" t="n">
        <v>6720.33338419856</v>
      </c>
      <c r="D65" t="n">
        <v>396791.740679874</v>
      </c>
      <c r="E65" t="n">
        <v>268319.882387175</v>
      </c>
      <c r="F65" t="n">
        <v>291618.354686509</v>
      </c>
      <c r="G65" t="n">
        <v>2393674.6665881</v>
      </c>
      <c r="H65" t="n">
        <v>2876304.75736103</v>
      </c>
      <c r="I65" t="n">
        <v>960404.788724995</v>
      </c>
      <c r="J65" t="n">
        <v>616812.517869079</v>
      </c>
      <c r="K65" t="n">
        <v>1101552.25140541</v>
      </c>
      <c r="L65" t="n">
        <v>707761.053901169</v>
      </c>
      <c r="M65" t="n">
        <v>938141.445872541</v>
      </c>
      <c r="N65" t="n">
        <v>16595.7020501115</v>
      </c>
      <c r="O65" t="n">
        <v>276711.764320233</v>
      </c>
      <c r="P65" t="n">
        <v>903121.824065277</v>
      </c>
      <c r="Q65" t="n">
        <v>583995.520333532</v>
      </c>
      <c r="R65" t="n">
        <v>1191861.02242171</v>
      </c>
      <c r="S65" t="n">
        <v>88194.0169557659</v>
      </c>
      <c r="T65" t="n">
        <v>2799247.5428307</v>
      </c>
      <c r="U65" t="n">
        <v>419613.969572386</v>
      </c>
      <c r="V65" t="n">
        <v>4473.25020990871</v>
      </c>
      <c r="W65" t="n">
        <v>1214757.20088548</v>
      </c>
      <c r="X65" t="n">
        <v>49021.4987496878</v>
      </c>
      <c r="Y65" t="n">
        <v>3213166.71244006</v>
      </c>
      <c r="Z65" t="n">
        <v>1740123.35441851</v>
      </c>
      <c r="AA65" t="n">
        <v>1051110.51534695</v>
      </c>
      <c r="AB65" t="n">
        <v>4236324.46707362</v>
      </c>
      <c r="AC65" t="n">
        <v>2320239.03496353</v>
      </c>
      <c r="AD65" t="n">
        <v>781722.507710708</v>
      </c>
      <c r="AE65" t="n">
        <v>1086675.86046403</v>
      </c>
      <c r="AF65" t="n">
        <v>2524793.87216628</v>
      </c>
      <c r="AG65" t="n">
        <v>21690.4057164141</v>
      </c>
      <c r="AH65" t="n">
        <v>580873.201899856</v>
      </c>
      <c r="AI65" t="n">
        <v>55817.8338074019</v>
      </c>
      <c r="AJ65" t="n">
        <v>3450394.65492439</v>
      </c>
      <c r="AK65" t="n">
        <v>32440.2276901952</v>
      </c>
      <c r="AL65" t="n">
        <v>567193.3205307</v>
      </c>
      <c r="AM65" t="n">
        <v>597511.371757139</v>
      </c>
      <c r="AN65" t="n">
        <v>948895.873308612</v>
      </c>
      <c r="AO65" t="n">
        <v>21010.3123264702</v>
      </c>
      <c r="AP65" t="n">
        <v>12401.0173764437</v>
      </c>
      <c r="AQ65" t="n">
        <v>119196.772410229</v>
      </c>
      <c r="AR65" t="n">
        <v>18966.0648135588</v>
      </c>
      <c r="AS65" t="n">
        <v>706084.771183314</v>
      </c>
      <c r="AT65" t="n">
        <v>37253.4980263228</v>
      </c>
      <c r="AU65" t="n">
        <v>1977803.25905517</v>
      </c>
      <c r="AV65" t="n">
        <v>790875.521988475</v>
      </c>
      <c r="AW65" t="n">
        <v>5098.96644283337</v>
      </c>
      <c r="AX65" t="n">
        <v>55704169.1009165</v>
      </c>
      <c r="AY65" t="n">
        <v>1126352.13309532</v>
      </c>
      <c r="AZ65" t="n">
        <v>419503.004090286</v>
      </c>
      <c r="BA65" t="n">
        <v>183087.178489752</v>
      </c>
      <c r="BB65" t="n">
        <v>1774277.06272917</v>
      </c>
      <c r="BC65" t="n">
        <v>846858.235740771</v>
      </c>
      <c r="BD65" t="n">
        <v>4397485.6143862</v>
      </c>
      <c r="BE65" t="n">
        <v>28629732.0094389</v>
      </c>
      <c r="BF65" t="n">
        <v>344559.003909045</v>
      </c>
      <c r="BG65" t="n">
        <v>4203664.18313168</v>
      </c>
      <c r="BH65" t="n">
        <v>3580420.79267</v>
      </c>
      <c r="BI65" t="n">
        <v>2021523.75834764</v>
      </c>
      <c r="BJ65" t="n">
        <v>1081573.40783348</v>
      </c>
      <c r="BK65" t="n">
        <v>41763.5552538144</v>
      </c>
      <c r="BL65" t="n">
        <v>939336.996523388</v>
      </c>
      <c r="BM65" t="n">
        <v>3506170.81675309</v>
      </c>
      <c r="BN65" t="n">
        <v>4512052.1568891</v>
      </c>
      <c r="BO65" t="n">
        <v>3587721.37004448</v>
      </c>
      <c r="BP65" t="n">
        <v>322172.445720799</v>
      </c>
      <c r="BQ65" t="n">
        <v>3160182.42681048</v>
      </c>
      <c r="BR65" t="n">
        <v>739670.451913973</v>
      </c>
      <c r="BS65" t="n">
        <v>79769196.2556793</v>
      </c>
      <c r="BT65" t="n">
        <v>8899933.37093912</v>
      </c>
      <c r="BU65" t="n">
        <v>70279658.3354352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1345038.30436418</v>
      </c>
      <c r="CB65" t="n">
        <v>-1859091.61305554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161</v>
      </c>
      <c r="B66" t="n">
        <v>6326.61181653249</v>
      </c>
      <c r="C66" t="n">
        <v>0</v>
      </c>
      <c r="D66" t="n">
        <v>0</v>
      </c>
      <c r="E66" t="n">
        <v>0</v>
      </c>
      <c r="F66" t="n">
        <v>0</v>
      </c>
      <c r="G66" t="n">
        <v>324534.76272869</v>
      </c>
      <c r="H66" t="n">
        <v>4500.83532689737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8643.95633150916</v>
      </c>
      <c r="Y66" t="n">
        <v>26621.8309598833</v>
      </c>
      <c r="Z66" t="n">
        <v>0</v>
      </c>
      <c r="AA66" t="n">
        <v>2590.55553662269</v>
      </c>
      <c r="AB66" t="n">
        <v>2110842.66381328</v>
      </c>
      <c r="AC66" t="n">
        <v>161951.007460965</v>
      </c>
      <c r="AD66" t="n">
        <v>693478.912633729</v>
      </c>
      <c r="AE66" t="n">
        <v>0</v>
      </c>
      <c r="AF66" t="n">
        <v>4581315.18535451</v>
      </c>
      <c r="AG66" t="n">
        <v>17591.7188374629</v>
      </c>
      <c r="AH66" t="n">
        <v>24240.5379602957</v>
      </c>
      <c r="AI66" t="n">
        <v>0</v>
      </c>
      <c r="AJ66" t="n">
        <v>0</v>
      </c>
      <c r="AK66" t="n">
        <v>0</v>
      </c>
      <c r="AL66" t="n">
        <v>13884.9580568135</v>
      </c>
      <c r="AM66" t="n">
        <v>47029.0563767035</v>
      </c>
      <c r="AN66" t="n">
        <v>0</v>
      </c>
      <c r="AO66" t="n">
        <v>0</v>
      </c>
      <c r="AP66" t="n">
        <v>0</v>
      </c>
      <c r="AQ66" t="n">
        <v>16112.1629380666</v>
      </c>
      <c r="AR66" t="n">
        <v>18700.3334296476</v>
      </c>
      <c r="AS66" t="n">
        <v>41409.1988941077</v>
      </c>
      <c r="AT66" t="n">
        <v>1544.26909563037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35287.030117251</v>
      </c>
      <c r="BB66" t="n">
        <v>21028.4687164559</v>
      </c>
      <c r="BC66" t="n">
        <v>0</v>
      </c>
      <c r="BD66" t="n">
        <v>321190.219972449</v>
      </c>
      <c r="BE66" t="n">
        <v>0</v>
      </c>
      <c r="BF66" t="n">
        <v>1997074.14892049</v>
      </c>
      <c r="BG66" t="n">
        <v>0</v>
      </c>
      <c r="BH66" t="n">
        <v>6032.21349429033</v>
      </c>
      <c r="BI66" t="n">
        <v>0</v>
      </c>
      <c r="BJ66" t="n">
        <v>0</v>
      </c>
      <c r="BK66" t="n">
        <v>662767.884518478</v>
      </c>
      <c r="BL66" t="n">
        <v>314121.156334144</v>
      </c>
      <c r="BM66" t="n">
        <v>0</v>
      </c>
      <c r="BN66" t="n">
        <v>0</v>
      </c>
      <c r="BO66" t="n">
        <v>3149877.91483085</v>
      </c>
      <c r="BP66" t="n">
        <v>0</v>
      </c>
      <c r="BQ66" t="n">
        <v>40082.0424162901</v>
      </c>
      <c r="BR66" t="n">
        <v>235759.023832582</v>
      </c>
      <c r="BS66" t="n">
        <v>22103552.4553477</v>
      </c>
      <c r="BT66" t="n">
        <v>10965.976410299</v>
      </c>
      <c r="BU66" t="n">
        <v>561330330.725345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11106682.5447602</v>
      </c>
      <c r="CB66" t="n">
        <v>-9830806.19197521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162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182222.414117145</v>
      </c>
      <c r="BC67" t="n">
        <v>0</v>
      </c>
      <c r="BD67" t="n">
        <v>437551.738241309</v>
      </c>
      <c r="BE67" t="n">
        <v>0</v>
      </c>
      <c r="BF67" t="n">
        <v>0</v>
      </c>
      <c r="BG67" t="n">
        <v>99121943.866161</v>
      </c>
      <c r="BH67" t="n">
        <v>57555306.7592176</v>
      </c>
      <c r="BI67" t="n">
        <v>613573.085846868</v>
      </c>
      <c r="BJ67" t="n">
        <v>5973.96939497903</v>
      </c>
      <c r="BK67" t="n">
        <v>116028.154780121</v>
      </c>
      <c r="BL67" t="n">
        <v>13408.9662239796</v>
      </c>
      <c r="BM67" t="n">
        <v>0</v>
      </c>
      <c r="BN67" t="n">
        <v>0</v>
      </c>
      <c r="BO67" t="n">
        <v>314863.015418613</v>
      </c>
      <c r="BP67" t="n">
        <v>0</v>
      </c>
      <c r="BQ67" t="n">
        <v>4703576.75776749</v>
      </c>
      <c r="BR67" t="n">
        <v>0</v>
      </c>
      <c r="BS67" t="n">
        <v>87256000.0042895</v>
      </c>
      <c r="BT67" t="n">
        <v>0</v>
      </c>
      <c r="BU67" t="n">
        <v>6153157061.20809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6682217.08328539</v>
      </c>
      <c r="CB67" t="n">
        <v>-2183386.78808757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163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4148250.38287756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6118760321.88998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23488499.5780138</v>
      </c>
      <c r="CB68" t="n">
        <v>-29703602.2363281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164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14802661.3996517</v>
      </c>
      <c r="BR69" t="n">
        <v>0</v>
      </c>
      <c r="BS69" t="n">
        <v>10452055.6154871</v>
      </c>
      <c r="BT69" t="n">
        <v>0</v>
      </c>
      <c r="BU69" t="n">
        <v>1379846445.1493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1766018.13150257</v>
      </c>
      <c r="CB69" t="n">
        <v>-627824.508731721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165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1339110229.08973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166</v>
      </c>
      <c r="B71" t="n">
        <v>281616.869024888</v>
      </c>
      <c r="C71" t="n">
        <v>0</v>
      </c>
      <c r="D71" t="n">
        <v>0</v>
      </c>
      <c r="E71" t="n">
        <v>0</v>
      </c>
      <c r="F71" t="n">
        <v>41642.6261661655</v>
      </c>
      <c r="G71" t="n">
        <v>356639.56719305</v>
      </c>
      <c r="H71" t="n">
        <v>220887.45319546</v>
      </c>
      <c r="I71" t="n">
        <v>145211.346808839</v>
      </c>
      <c r="J71" t="n">
        <v>69242.2732970204</v>
      </c>
      <c r="K71" t="n">
        <v>144905.429556593</v>
      </c>
      <c r="L71" t="n">
        <v>112256.363645132</v>
      </c>
      <c r="M71" t="n">
        <v>142516.269804753</v>
      </c>
      <c r="N71" t="n">
        <v>785.81991831933</v>
      </c>
      <c r="O71" t="n">
        <v>16893.1937778871</v>
      </c>
      <c r="P71" t="n">
        <v>133786.364180157</v>
      </c>
      <c r="Q71" t="n">
        <v>36106.9768921588</v>
      </c>
      <c r="R71" t="n">
        <v>144616.183104342</v>
      </c>
      <c r="S71" t="n">
        <v>16786.1157053854</v>
      </c>
      <c r="T71" t="n">
        <v>188197.545094272</v>
      </c>
      <c r="U71" t="n">
        <v>26109.983921172</v>
      </c>
      <c r="V71" t="n">
        <v>2894.76422393953</v>
      </c>
      <c r="W71" t="n">
        <v>122980.594412839</v>
      </c>
      <c r="X71" t="n">
        <v>14677.88503264</v>
      </c>
      <c r="Y71" t="n">
        <v>217033.789595837</v>
      </c>
      <c r="Z71" t="n">
        <v>32525.1714537145</v>
      </c>
      <c r="AA71" t="n">
        <v>254892.00772964</v>
      </c>
      <c r="AB71" t="n">
        <v>4584072.55730562</v>
      </c>
      <c r="AC71" t="n">
        <v>972769.18267816</v>
      </c>
      <c r="AD71" t="n">
        <v>648276.200369504</v>
      </c>
      <c r="AE71" t="n">
        <v>281287.230204293</v>
      </c>
      <c r="AF71" t="n">
        <v>1083280.54382304</v>
      </c>
      <c r="AG71" t="n">
        <v>0</v>
      </c>
      <c r="AH71" t="n">
        <v>385990.405072151</v>
      </c>
      <c r="AI71" t="n">
        <v>0</v>
      </c>
      <c r="AJ71" t="n">
        <v>213925.504767074</v>
      </c>
      <c r="AK71" t="n">
        <v>10496.4853437011</v>
      </c>
      <c r="AL71" t="n">
        <v>0</v>
      </c>
      <c r="AM71" t="n">
        <v>520449.40670168</v>
      </c>
      <c r="AN71" t="n">
        <v>22863.8179935007</v>
      </c>
      <c r="AO71" t="n">
        <v>58350.8355214534</v>
      </c>
      <c r="AP71" t="n">
        <v>2051199.77185704</v>
      </c>
      <c r="AQ71" t="n">
        <v>33383744.7774534</v>
      </c>
      <c r="AR71" t="n">
        <v>91137.0537239318</v>
      </c>
      <c r="AS71" t="n">
        <v>3390515.42295985</v>
      </c>
      <c r="AT71" t="n">
        <v>162391.658171062</v>
      </c>
      <c r="AU71" t="n">
        <v>225695.990120653</v>
      </c>
      <c r="AV71" t="n">
        <v>480494.218792792</v>
      </c>
      <c r="AW71" t="n">
        <v>0</v>
      </c>
      <c r="AX71" t="n">
        <v>4231863.20290213</v>
      </c>
      <c r="AY71" t="n">
        <v>322238.81659101</v>
      </c>
      <c r="AZ71" t="n">
        <v>565649.616162195</v>
      </c>
      <c r="BA71" t="n">
        <v>423423.570029166</v>
      </c>
      <c r="BB71" t="n">
        <v>3225522.11006336</v>
      </c>
      <c r="BC71" t="n">
        <v>3878000.60726111</v>
      </c>
      <c r="BD71" t="n">
        <v>3019850.47377438</v>
      </c>
      <c r="BE71" t="n">
        <v>177730.191215603</v>
      </c>
      <c r="BF71" t="n">
        <v>1351863.03518421</v>
      </c>
      <c r="BG71" t="n">
        <v>1923457.29538776</v>
      </c>
      <c r="BH71" t="n">
        <v>1747891.14460084</v>
      </c>
      <c r="BI71" t="n">
        <v>392768.15177597</v>
      </c>
      <c r="BJ71" t="n">
        <v>1444257.49502952</v>
      </c>
      <c r="BK71" t="n">
        <v>5800274.42262069</v>
      </c>
      <c r="BL71" t="n">
        <v>882302.325205198</v>
      </c>
      <c r="BM71" t="n">
        <v>768916.06720168</v>
      </c>
      <c r="BN71" t="n">
        <v>5715168.13158355</v>
      </c>
      <c r="BO71" t="n">
        <v>2369945.28121658</v>
      </c>
      <c r="BP71" t="n">
        <v>0</v>
      </c>
      <c r="BQ71" t="n">
        <v>37323.9834610542</v>
      </c>
      <c r="BR71" t="n">
        <v>69468.3576940727</v>
      </c>
      <c r="BS71" t="n">
        <v>3822343.33795834</v>
      </c>
      <c r="BT71" t="n">
        <v>42797.7955401337</v>
      </c>
      <c r="BU71" t="n">
        <v>126249120.441268</v>
      </c>
      <c r="BV71" t="n">
        <v>0</v>
      </c>
      <c r="BW71" t="n">
        <v>0</v>
      </c>
      <c r="BX71" t="n">
        <v>1836530.94557086</v>
      </c>
      <c r="BY71" t="n">
        <v>0</v>
      </c>
      <c r="BZ71" t="n">
        <v>0</v>
      </c>
      <c r="CA71" t="n">
        <v>1596494.05198468</v>
      </c>
      <c r="CB71" t="n">
        <v>-5409322.80963184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167</v>
      </c>
      <c r="B72" t="n">
        <v>81704.688718898</v>
      </c>
      <c r="C72" t="n">
        <v>0</v>
      </c>
      <c r="D72" t="n">
        <v>0</v>
      </c>
      <c r="E72" t="n">
        <v>0</v>
      </c>
      <c r="F72" t="n">
        <v>24943.2972524275</v>
      </c>
      <c r="G72" t="n">
        <v>167169.842822009</v>
      </c>
      <c r="H72" t="n">
        <v>132858.962842171</v>
      </c>
      <c r="I72" t="n">
        <v>41186.5545855293</v>
      </c>
      <c r="J72" t="n">
        <v>30962.8762702822</v>
      </c>
      <c r="K72" t="n">
        <v>29782.4541499424</v>
      </c>
      <c r="L72" t="n">
        <v>34664.9148339483</v>
      </c>
      <c r="M72" t="n">
        <v>39809.6883205638</v>
      </c>
      <c r="N72" t="n">
        <v>309.560433345301</v>
      </c>
      <c r="O72" t="n">
        <v>3992.87236011022</v>
      </c>
      <c r="P72" t="n">
        <v>41607.5288194839</v>
      </c>
      <c r="Q72" t="n">
        <v>11378.9850859783</v>
      </c>
      <c r="R72" t="n">
        <v>56969.0933849954</v>
      </c>
      <c r="S72" t="n">
        <v>5290.0845405467</v>
      </c>
      <c r="T72" t="n">
        <v>43095.0453952181</v>
      </c>
      <c r="U72" t="n">
        <v>0</v>
      </c>
      <c r="V72" t="n">
        <v>0</v>
      </c>
      <c r="W72" t="n">
        <v>26086.3723338765</v>
      </c>
      <c r="X72" t="n">
        <v>4476.46757182281</v>
      </c>
      <c r="Y72" t="n">
        <v>32743.4482842236</v>
      </c>
      <c r="Z72" t="n">
        <v>10570.5103630934</v>
      </c>
      <c r="AA72" t="n">
        <v>54166.1940257532</v>
      </c>
      <c r="AB72" t="n">
        <v>782578.749069404</v>
      </c>
      <c r="AC72" t="n">
        <v>19919.119933437</v>
      </c>
      <c r="AD72" t="n">
        <v>61923.2256094956</v>
      </c>
      <c r="AE72" t="n">
        <v>9234.02792915249</v>
      </c>
      <c r="AF72" t="n">
        <v>653337.243552079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9640.5432421666</v>
      </c>
      <c r="AN72" t="n">
        <v>3860.06290517933</v>
      </c>
      <c r="AO72" t="n">
        <v>10089.3105648281</v>
      </c>
      <c r="AP72" t="n">
        <v>3298.77838735539</v>
      </c>
      <c r="AQ72" t="n">
        <v>46239.925206897</v>
      </c>
      <c r="AR72" t="n">
        <v>31910.4982047794</v>
      </c>
      <c r="AS72" t="n">
        <v>677246.391794701</v>
      </c>
      <c r="AT72" t="n">
        <v>45584.8693615949</v>
      </c>
      <c r="AU72" t="n">
        <v>38903.2921176952</v>
      </c>
      <c r="AV72" t="n">
        <v>47750.6695694803</v>
      </c>
      <c r="AW72" t="n">
        <v>0</v>
      </c>
      <c r="AX72" t="n">
        <v>0</v>
      </c>
      <c r="AY72" t="n">
        <v>95976.0529253873</v>
      </c>
      <c r="AZ72" t="n">
        <v>96852.9519013488</v>
      </c>
      <c r="BA72" t="n">
        <v>137437.090022684</v>
      </c>
      <c r="BB72" t="n">
        <v>296386.401390745</v>
      </c>
      <c r="BC72" t="n">
        <v>937160.822779834</v>
      </c>
      <c r="BD72" t="n">
        <v>782408.32779452</v>
      </c>
      <c r="BE72" t="n">
        <v>53689.078725859</v>
      </c>
      <c r="BF72" t="n">
        <v>55304.5902836949</v>
      </c>
      <c r="BG72" t="n">
        <v>681457.667789651</v>
      </c>
      <c r="BH72" t="n">
        <v>20774.0526368949</v>
      </c>
      <c r="BI72" t="n">
        <v>64548.5284068669</v>
      </c>
      <c r="BJ72" t="n">
        <v>125606.876672916</v>
      </c>
      <c r="BK72" t="n">
        <v>44941.7331397124</v>
      </c>
      <c r="BL72" t="n">
        <v>374418.791692957</v>
      </c>
      <c r="BM72" t="n">
        <v>1123385.29723956</v>
      </c>
      <c r="BN72" t="n">
        <v>1694077.11126485</v>
      </c>
      <c r="BO72" t="n">
        <v>85255.834582852</v>
      </c>
      <c r="BP72" t="n">
        <v>13908.3207294392</v>
      </c>
      <c r="BQ72" t="n">
        <v>5189.34722156396</v>
      </c>
      <c r="BR72" t="n">
        <v>2376.81284835332</v>
      </c>
      <c r="BS72" t="n">
        <v>1967821.41506214</v>
      </c>
      <c r="BT72" t="n">
        <v>177024.392179581</v>
      </c>
      <c r="BU72" t="n">
        <v>349480101.720197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107305.66051235</v>
      </c>
      <c r="CB72" t="n">
        <v>-127976.595136177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168</v>
      </c>
      <c r="B73" t="n">
        <v>9367.0596094047</v>
      </c>
      <c r="C73" t="n">
        <v>0</v>
      </c>
      <c r="D73" t="n">
        <v>1509.86843032335</v>
      </c>
      <c r="E73" t="n">
        <v>47301.7036884113</v>
      </c>
      <c r="F73" t="n">
        <v>911381.578022777</v>
      </c>
      <c r="G73" t="n">
        <v>9010400.19763774</v>
      </c>
      <c r="H73" t="n">
        <v>1322774.24525477</v>
      </c>
      <c r="I73" t="n">
        <v>1520434.2318956</v>
      </c>
      <c r="J73" t="n">
        <v>974406.001817157</v>
      </c>
      <c r="K73" t="n">
        <v>1209984.65412595</v>
      </c>
      <c r="L73" t="n">
        <v>1352012.63749153</v>
      </c>
      <c r="M73" t="n">
        <v>1717817.19285358</v>
      </c>
      <c r="N73" t="n">
        <v>14905.6541610557</v>
      </c>
      <c r="O73" t="n">
        <v>240326.15322423</v>
      </c>
      <c r="P73" t="n">
        <v>2093600.47294881</v>
      </c>
      <c r="Q73" t="n">
        <v>424630.148258685</v>
      </c>
      <c r="R73" t="n">
        <v>2112202.86750015</v>
      </c>
      <c r="S73" t="n">
        <v>235618.800043696</v>
      </c>
      <c r="T73" t="n">
        <v>1702501.34062201</v>
      </c>
      <c r="U73" t="n">
        <v>252583.390313094</v>
      </c>
      <c r="V73" t="n">
        <v>16472.6116228218</v>
      </c>
      <c r="W73" t="n">
        <v>1058700.83345856</v>
      </c>
      <c r="X73" t="n">
        <v>234406.852273974</v>
      </c>
      <c r="Y73" t="n">
        <v>1274443.23650588</v>
      </c>
      <c r="Z73" t="n">
        <v>471964.178593323</v>
      </c>
      <c r="AA73" t="n">
        <v>2278302.82132164</v>
      </c>
      <c r="AB73" t="n">
        <v>13456737.9161731</v>
      </c>
      <c r="AC73" t="n">
        <v>253483.345015982</v>
      </c>
      <c r="AD73" t="n">
        <v>278930.155892865</v>
      </c>
      <c r="AE73" t="n">
        <v>544669.262279828</v>
      </c>
      <c r="AF73" t="n">
        <v>1285149.10087455</v>
      </c>
      <c r="AG73" t="n">
        <v>0</v>
      </c>
      <c r="AH73" t="n">
        <v>114848.235673837</v>
      </c>
      <c r="AI73" t="n">
        <v>0</v>
      </c>
      <c r="AJ73" t="n">
        <v>0</v>
      </c>
      <c r="AK73" t="n">
        <v>0</v>
      </c>
      <c r="AL73" t="n">
        <v>53450.2838590792</v>
      </c>
      <c r="AM73" t="n">
        <v>1819672.23524986</v>
      </c>
      <c r="AN73" t="n">
        <v>139399.507753814</v>
      </c>
      <c r="AO73" t="n">
        <v>445326.484437395</v>
      </c>
      <c r="AP73" t="n">
        <v>174227.166363022</v>
      </c>
      <c r="AQ73" t="n">
        <v>2080187.2295485</v>
      </c>
      <c r="AR73" t="n">
        <v>1410807.85145855</v>
      </c>
      <c r="AS73" t="n">
        <v>29779925.7328888</v>
      </c>
      <c r="AT73" t="n">
        <v>2026906.96969583</v>
      </c>
      <c r="AU73" t="n">
        <v>1682888.93338554</v>
      </c>
      <c r="AV73" t="n">
        <v>2158734.63702864</v>
      </c>
      <c r="AW73" t="n">
        <v>23470.9914349697</v>
      </c>
      <c r="AX73" t="n">
        <v>31635150.1071269</v>
      </c>
      <c r="AY73" t="n">
        <v>4649448.72204308</v>
      </c>
      <c r="AZ73" t="n">
        <v>3343196.40884768</v>
      </c>
      <c r="BA73" t="n">
        <v>6171164.74640754</v>
      </c>
      <c r="BB73" t="n">
        <v>12541251.0708759</v>
      </c>
      <c r="BC73" t="n">
        <v>2556027.49337175</v>
      </c>
      <c r="BD73" t="n">
        <v>22652370.7179096</v>
      </c>
      <c r="BE73" t="n">
        <v>2751374.95145026</v>
      </c>
      <c r="BF73" t="n">
        <v>1965900.70458159</v>
      </c>
      <c r="BG73" t="n">
        <v>19760883.5091864</v>
      </c>
      <c r="BH73" t="n">
        <v>989574.64687276</v>
      </c>
      <c r="BI73" t="n">
        <v>1645137.95503513</v>
      </c>
      <c r="BJ73" t="n">
        <v>1972832.83719026</v>
      </c>
      <c r="BK73" t="n">
        <v>96631.0359794246</v>
      </c>
      <c r="BL73" t="n">
        <v>919389.374394503</v>
      </c>
      <c r="BM73" t="n">
        <v>4313581.65958119</v>
      </c>
      <c r="BN73" t="n">
        <v>12914665.0178756</v>
      </c>
      <c r="BO73" t="n">
        <v>3155242.28136318</v>
      </c>
      <c r="BP73" t="n">
        <v>16552751.3906219</v>
      </c>
      <c r="BQ73" t="n">
        <v>6477942.52116405</v>
      </c>
      <c r="BR73" t="n">
        <v>297559.574538179</v>
      </c>
      <c r="BS73" t="n">
        <v>24049444.7198399</v>
      </c>
      <c r="BT73" t="n">
        <v>726561.603050674</v>
      </c>
      <c r="BU73" t="n">
        <v>892667773.930925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169</v>
      </c>
      <c r="B74" t="n">
        <v>4581528.17374508</v>
      </c>
      <c r="C74" t="n">
        <v>61599.1343691263</v>
      </c>
      <c r="D74" t="n">
        <v>24428.5103281674</v>
      </c>
      <c r="E74" t="n">
        <v>215855.312082627</v>
      </c>
      <c r="F74" t="n">
        <v>2215774.72197977</v>
      </c>
      <c r="G74" t="n">
        <v>21855446.3859921</v>
      </c>
      <c r="H74" t="n">
        <v>1998742.23340144</v>
      </c>
      <c r="I74" t="n">
        <v>2673854.00804403</v>
      </c>
      <c r="J74" t="n">
        <v>1517535.53756244</v>
      </c>
      <c r="K74" t="n">
        <v>2230954.00539515</v>
      </c>
      <c r="L74" t="n">
        <v>1973485.15863249</v>
      </c>
      <c r="M74" t="n">
        <v>2771038.0817745</v>
      </c>
      <c r="N74" t="n">
        <v>19478.4711687472</v>
      </c>
      <c r="O74" t="n">
        <v>562306.898388795</v>
      </c>
      <c r="P74" t="n">
        <v>2979613.61318234</v>
      </c>
      <c r="Q74" t="n">
        <v>707476.071262704</v>
      </c>
      <c r="R74" t="n">
        <v>3004291.72852926</v>
      </c>
      <c r="S74" t="n">
        <v>332867.989909855</v>
      </c>
      <c r="T74" t="n">
        <v>3198830.95602918</v>
      </c>
      <c r="U74" t="n">
        <v>647199.895508796</v>
      </c>
      <c r="V74" t="n">
        <v>61503.2748363607</v>
      </c>
      <c r="W74" t="n">
        <v>1954086.67638639</v>
      </c>
      <c r="X74" t="n">
        <v>263229.909434047</v>
      </c>
      <c r="Y74" t="n">
        <v>3417508.28347105</v>
      </c>
      <c r="Z74" t="n">
        <v>696800.996892348</v>
      </c>
      <c r="AA74" t="n">
        <v>3436940.60210434</v>
      </c>
      <c r="AB74" t="n">
        <v>40225343.7713993</v>
      </c>
      <c r="AC74" t="n">
        <v>6804012.83256481</v>
      </c>
      <c r="AD74" t="n">
        <v>4662506.61401551</v>
      </c>
      <c r="AE74" t="n">
        <v>13488260.0362539</v>
      </c>
      <c r="AF74" t="n">
        <v>21663462.1434962</v>
      </c>
      <c r="AG74" t="n">
        <v>3507374.65234411</v>
      </c>
      <c r="AH74" t="n">
        <v>26800.3291040575</v>
      </c>
      <c r="AI74" t="n">
        <v>243024.679425221</v>
      </c>
      <c r="AJ74" t="n">
        <v>11075918.139942</v>
      </c>
      <c r="AK74" t="n">
        <v>260181.09540636</v>
      </c>
      <c r="AL74" t="n">
        <v>347960.626076229</v>
      </c>
      <c r="AM74" t="n">
        <v>8654329.81744704</v>
      </c>
      <c r="AN74" t="n">
        <v>3145961.56467221</v>
      </c>
      <c r="AO74" t="n">
        <v>482575.33706724</v>
      </c>
      <c r="AP74" t="n">
        <v>291585.069738483</v>
      </c>
      <c r="AQ74" t="n">
        <v>2367229.63341036</v>
      </c>
      <c r="AR74" t="n">
        <v>1518035.24007805</v>
      </c>
      <c r="AS74" t="n">
        <v>52793650.4933866</v>
      </c>
      <c r="AT74" t="n">
        <v>2494143.99885317</v>
      </c>
      <c r="AU74" t="n">
        <v>11859775.7037173</v>
      </c>
      <c r="AV74" t="n">
        <v>6247692.30769231</v>
      </c>
      <c r="AW74" t="n">
        <v>23368.7751112377</v>
      </c>
      <c r="AX74" t="n">
        <v>109659771.489753</v>
      </c>
      <c r="AY74" t="n">
        <v>13492766.6111893</v>
      </c>
      <c r="AZ74" t="n">
        <v>7476373.55630538</v>
      </c>
      <c r="BA74" t="n">
        <v>9976264.90099848</v>
      </c>
      <c r="BB74" t="n">
        <v>38067728.4664266</v>
      </c>
      <c r="BC74" t="n">
        <v>15462574.7690972</v>
      </c>
      <c r="BD74" t="n">
        <v>53915585.7668712</v>
      </c>
      <c r="BE74" t="n">
        <v>3091009.37508864</v>
      </c>
      <c r="BF74" t="n">
        <v>5101299.02804139</v>
      </c>
      <c r="BG74" t="n">
        <v>157490937.380736</v>
      </c>
      <c r="BH74" t="n">
        <v>87397811.121355</v>
      </c>
      <c r="BI74" t="n">
        <v>50459717.0382326</v>
      </c>
      <c r="BJ74" t="n">
        <v>22008103.2511028</v>
      </c>
      <c r="BK74" t="n">
        <v>458184.173255806</v>
      </c>
      <c r="BL74" t="n">
        <v>6194942.39547859</v>
      </c>
      <c r="BM74" t="n">
        <v>82873161.3817029</v>
      </c>
      <c r="BN74" t="n">
        <v>40173247.8956796</v>
      </c>
      <c r="BO74" t="n">
        <v>10449887.6249309</v>
      </c>
      <c r="BP74" t="n">
        <v>7362400.49358193</v>
      </c>
      <c r="BQ74" t="n">
        <v>2557812.815381</v>
      </c>
      <c r="BR74" t="n">
        <v>2157882.24244506</v>
      </c>
      <c r="BS74" t="n">
        <v>102323249.008433</v>
      </c>
      <c r="BT74" t="n">
        <v>3020891.47080091</v>
      </c>
      <c r="BU74" t="n">
        <v>5293784993.5855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18051383.5513178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170</v>
      </c>
      <c r="B75" t="n">
        <v>4820282.4046882</v>
      </c>
      <c r="C75" t="n">
        <v>405477.907998868</v>
      </c>
      <c r="D75" t="n">
        <v>172534.126589707</v>
      </c>
      <c r="E75" t="n">
        <v>938816.674458021</v>
      </c>
      <c r="F75" t="n">
        <v>2886880.0515219</v>
      </c>
      <c r="G75" t="n">
        <v>11811625.7800521</v>
      </c>
      <c r="H75" t="n">
        <v>27784642.099512</v>
      </c>
      <c r="I75" t="n">
        <v>7942886.19192142</v>
      </c>
      <c r="J75" t="n">
        <v>7095688.52069716</v>
      </c>
      <c r="K75" t="n">
        <v>13662780.0073594</v>
      </c>
      <c r="L75" t="n">
        <v>9212378.69383626</v>
      </c>
      <c r="M75" t="n">
        <v>9842763.53290971</v>
      </c>
      <c r="N75" t="n">
        <v>279500.678604834</v>
      </c>
      <c r="O75" t="n">
        <v>2123419.28157729</v>
      </c>
      <c r="P75" t="n">
        <v>11756480.775856</v>
      </c>
      <c r="Q75" t="n">
        <v>4280847.01022067</v>
      </c>
      <c r="R75" t="n">
        <v>5526578.37162882</v>
      </c>
      <c r="S75" t="n">
        <v>940980.292922637</v>
      </c>
      <c r="T75" t="n">
        <v>13387942.079535</v>
      </c>
      <c r="U75" t="n">
        <v>2452438.45627803</v>
      </c>
      <c r="V75" t="n">
        <v>89965.980027819</v>
      </c>
      <c r="W75" t="n">
        <v>13959909.8968909</v>
      </c>
      <c r="X75" t="n">
        <v>626214.57429022</v>
      </c>
      <c r="Y75" t="n">
        <v>21192250.841353</v>
      </c>
      <c r="Z75" t="n">
        <v>6736161.02785759</v>
      </c>
      <c r="AA75" t="n">
        <v>9515009.73087179</v>
      </c>
      <c r="AB75" t="n">
        <v>97597388.3346024</v>
      </c>
      <c r="AC75" t="n">
        <v>18905007.550764</v>
      </c>
      <c r="AD75" t="n">
        <v>14113652.8457103</v>
      </c>
      <c r="AE75" t="n">
        <v>31488971.3896587</v>
      </c>
      <c r="AF75" t="n">
        <v>41671982.7791212</v>
      </c>
      <c r="AG75" t="n">
        <v>220858.30608972</v>
      </c>
      <c r="AH75" t="n">
        <v>1071772.53133521</v>
      </c>
      <c r="AI75" t="n">
        <v>5625513.02999016</v>
      </c>
      <c r="AJ75" t="n">
        <v>82306368.3681693</v>
      </c>
      <c r="AK75" t="n">
        <v>3556187.95818162</v>
      </c>
      <c r="AL75" t="n">
        <v>3962400.22626174</v>
      </c>
      <c r="AM75" t="n">
        <v>14627181.5542845</v>
      </c>
      <c r="AN75" t="n">
        <v>10437731.9357894</v>
      </c>
      <c r="AO75" t="n">
        <v>1384028.7140382</v>
      </c>
      <c r="AP75" t="n">
        <v>198278.620528561</v>
      </c>
      <c r="AQ75" t="n">
        <v>14999636.7731924</v>
      </c>
      <c r="AR75" t="n">
        <v>1408967.53415276</v>
      </c>
      <c r="AS75" t="n">
        <v>24504294.1784135</v>
      </c>
      <c r="AT75" t="n">
        <v>3034619.3501337</v>
      </c>
      <c r="AU75" t="n">
        <v>23856577.1870543</v>
      </c>
      <c r="AV75" t="n">
        <v>1167893.07149347</v>
      </c>
      <c r="AW75" t="n">
        <v>112047685.686288</v>
      </c>
      <c r="AX75" t="n">
        <v>17970995.5147428</v>
      </c>
      <c r="AY75" t="n">
        <v>32099157.1485558</v>
      </c>
      <c r="AZ75" t="n">
        <v>3660970.30836434</v>
      </c>
      <c r="BA75" t="n">
        <v>3858902.38852671</v>
      </c>
      <c r="BB75" t="n">
        <v>19692584.063217</v>
      </c>
      <c r="BC75" t="n">
        <v>24397662.5427412</v>
      </c>
      <c r="BD75" t="n">
        <v>73083819.070297</v>
      </c>
      <c r="BE75" t="n">
        <v>26864077.0275221</v>
      </c>
      <c r="BF75" t="n">
        <v>8593324.66852194</v>
      </c>
      <c r="BG75" t="n">
        <v>36618999.1632255</v>
      </c>
      <c r="BH75" t="n">
        <v>53422054.3377035</v>
      </c>
      <c r="BI75" t="n">
        <v>10147916.251267</v>
      </c>
      <c r="BJ75" t="n">
        <v>5011182.13086425</v>
      </c>
      <c r="BK75" t="n">
        <v>710448.919065253</v>
      </c>
      <c r="BL75" t="n">
        <v>6924149.01438576</v>
      </c>
      <c r="BM75" t="n">
        <v>19960944.9183961</v>
      </c>
      <c r="BN75" t="n">
        <v>60931951.0496153</v>
      </c>
      <c r="BO75" t="n">
        <v>39136680.4289325</v>
      </c>
      <c r="BP75" t="n">
        <v>31062502.3092831</v>
      </c>
      <c r="BQ75" t="n">
        <v>75573529.492555</v>
      </c>
      <c r="BR75" t="n">
        <v>4968167.93688229</v>
      </c>
      <c r="BS75" t="n">
        <v>219039649.466137</v>
      </c>
      <c r="BT75" t="n">
        <v>17053039.1076012</v>
      </c>
      <c r="BU75" t="n">
        <v>3493166440.11424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473154.683039295</v>
      </c>
      <c r="CB75" t="n">
        <v>-25954928.0681539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171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10349059654.7752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172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1918591028.14402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173</v>
      </c>
      <c r="B78" t="n">
        <v>9367.09043628955</v>
      </c>
      <c r="C78" t="n">
        <v>1031.14626703397</v>
      </c>
      <c r="D78" t="n">
        <v>0</v>
      </c>
      <c r="E78" t="n">
        <v>1313.94053771586</v>
      </c>
      <c r="F78" t="n">
        <v>0</v>
      </c>
      <c r="G78" t="n">
        <v>199821.974045414</v>
      </c>
      <c r="H78" t="n">
        <v>2221.29067756426</v>
      </c>
      <c r="I78" t="n">
        <v>0</v>
      </c>
      <c r="J78" t="n">
        <v>0</v>
      </c>
      <c r="K78" t="n">
        <v>25394.8232282898</v>
      </c>
      <c r="L78" t="n">
        <v>42424.4044773243</v>
      </c>
      <c r="M78" t="n">
        <v>173216.645651215</v>
      </c>
      <c r="N78" t="n">
        <v>2018.48064375089</v>
      </c>
      <c r="O78" t="n">
        <v>125718.730118612</v>
      </c>
      <c r="P78" t="n">
        <v>0</v>
      </c>
      <c r="Q78" t="n">
        <v>0</v>
      </c>
      <c r="R78" t="n">
        <v>0</v>
      </c>
      <c r="S78" t="n">
        <v>2388.03623779502</v>
      </c>
      <c r="T78" t="n">
        <v>0</v>
      </c>
      <c r="U78" t="n">
        <v>2476.31589766775</v>
      </c>
      <c r="V78" t="n">
        <v>0</v>
      </c>
      <c r="W78" t="n">
        <v>0</v>
      </c>
      <c r="X78" t="n">
        <v>5388.68100469457</v>
      </c>
      <c r="Y78" t="n">
        <v>59123.8498770852</v>
      </c>
      <c r="Z78" t="n">
        <v>11760.5840037339</v>
      </c>
      <c r="AA78" t="n">
        <v>0</v>
      </c>
      <c r="AB78" t="n">
        <v>6643626.5507775</v>
      </c>
      <c r="AC78" t="n">
        <v>475456.32270725</v>
      </c>
      <c r="AD78" t="n">
        <v>250023.736009291</v>
      </c>
      <c r="AE78" t="n">
        <v>309327.423189062</v>
      </c>
      <c r="AF78" t="n">
        <v>1866099.70333298</v>
      </c>
      <c r="AG78" t="n">
        <v>86.8201527446796</v>
      </c>
      <c r="AH78" t="n">
        <v>0</v>
      </c>
      <c r="AI78" t="n">
        <v>2495081.82687673</v>
      </c>
      <c r="AJ78" t="n">
        <v>2667615.90904035</v>
      </c>
      <c r="AK78" t="n">
        <v>40545.5498004808</v>
      </c>
      <c r="AL78" t="n">
        <v>53085.4293566118</v>
      </c>
      <c r="AM78" t="n">
        <v>373582.764406856</v>
      </c>
      <c r="AN78" t="n">
        <v>498640.844999655</v>
      </c>
      <c r="AO78" t="n">
        <v>32002.8297457563</v>
      </c>
      <c r="AP78" t="n">
        <v>15509.0247853203</v>
      </c>
      <c r="AQ78" t="n">
        <v>42392.3370210262</v>
      </c>
      <c r="AR78" t="n">
        <v>63880.9941967915</v>
      </c>
      <c r="AS78" t="n">
        <v>540633.628230567</v>
      </c>
      <c r="AT78" t="n">
        <v>150161.358714123</v>
      </c>
      <c r="AU78" t="n">
        <v>21904.8203235427</v>
      </c>
      <c r="AV78" t="n">
        <v>0</v>
      </c>
      <c r="AW78" t="n">
        <v>0</v>
      </c>
      <c r="AX78" t="n">
        <v>114043.931071902</v>
      </c>
      <c r="AY78" t="n">
        <v>413374.446034235</v>
      </c>
      <c r="AZ78" t="n">
        <v>71881.0544943583</v>
      </c>
      <c r="BA78" t="n">
        <v>50158.6826202313</v>
      </c>
      <c r="BB78" t="n">
        <v>346884.263294702</v>
      </c>
      <c r="BC78" t="n">
        <v>54184.086042044</v>
      </c>
      <c r="BD78" t="n">
        <v>379248.817343193</v>
      </c>
      <c r="BE78" t="n">
        <v>56910.6492243304</v>
      </c>
      <c r="BF78" t="n">
        <v>120937.06833999</v>
      </c>
      <c r="BG78" t="n">
        <v>496696.519869067</v>
      </c>
      <c r="BH78" t="n">
        <v>1021198.99883668</v>
      </c>
      <c r="BI78" t="n">
        <v>125008.847272888</v>
      </c>
      <c r="BJ78" t="n">
        <v>220352.093454419</v>
      </c>
      <c r="BK78" t="n">
        <v>9409.91054006933</v>
      </c>
      <c r="BL78" t="n">
        <v>24541.0731796005</v>
      </c>
      <c r="BM78" t="n">
        <v>519600.508011609</v>
      </c>
      <c r="BN78" t="n">
        <v>2721763.54065246</v>
      </c>
      <c r="BO78" t="n">
        <v>218333.48066836</v>
      </c>
      <c r="BP78" t="n">
        <v>465.070967226771</v>
      </c>
      <c r="BQ78" t="n">
        <v>52056.9257473318</v>
      </c>
      <c r="BR78" t="n">
        <v>39102.5086728692</v>
      </c>
      <c r="BS78" t="n">
        <v>1290379.64586168</v>
      </c>
      <c r="BT78" t="n">
        <v>34839.8935745439</v>
      </c>
      <c r="BU78" t="n">
        <v>2513806.15824699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6041794.08864</v>
      </c>
      <c r="CB78" t="n">
        <v>-1484026.7994491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174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15606689101.6861</v>
      </c>
      <c r="CL79" t="n">
        <v>0</v>
      </c>
      <c r="CM79" t="n">
        <v>0</v>
      </c>
      <c r="CN79" t="n">
        <v>0</v>
      </c>
    </row>
    <row r="80">
      <c r="A80" t="s">
        <v>175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6307207.86723906</v>
      </c>
      <c r="H80" t="n">
        <v>0</v>
      </c>
      <c r="I80" t="n">
        <v>1378063.21953038</v>
      </c>
      <c r="J80" t="n">
        <v>1153061.93683784</v>
      </c>
      <c r="K80" t="n">
        <v>2119406.30512539</v>
      </c>
      <c r="L80" t="n">
        <v>1381439.61104274</v>
      </c>
      <c r="M80" t="n">
        <v>2110393.24108654</v>
      </c>
      <c r="N80" t="n">
        <v>29217.7067531207</v>
      </c>
      <c r="O80" t="n">
        <v>526414.968704404</v>
      </c>
      <c r="P80" t="n">
        <v>1919918.39510494</v>
      </c>
      <c r="Q80" t="n">
        <v>1346761.67782539</v>
      </c>
      <c r="R80" t="n">
        <v>1604564.90046449</v>
      </c>
      <c r="S80" t="n">
        <v>184266.208700098</v>
      </c>
      <c r="T80" t="n">
        <v>5975064.06098661</v>
      </c>
      <c r="U80" t="n">
        <v>998536.981642142</v>
      </c>
      <c r="V80" t="n">
        <v>20501.0916121202</v>
      </c>
      <c r="W80" t="n">
        <v>2512397.15535392</v>
      </c>
      <c r="X80" t="n">
        <v>87184.4286023594</v>
      </c>
      <c r="Y80" t="n">
        <v>6622444.28136735</v>
      </c>
      <c r="Z80" t="n">
        <v>3846802.19771974</v>
      </c>
      <c r="AA80" t="n">
        <v>1861676.15947318</v>
      </c>
      <c r="AB80" t="n">
        <v>7179643.68996731</v>
      </c>
      <c r="AC80" t="n">
        <v>3964744.31972762</v>
      </c>
      <c r="AD80" t="n">
        <v>1771632.80840641</v>
      </c>
      <c r="AE80" t="n">
        <v>2158121.60580062</v>
      </c>
      <c r="AF80" t="n">
        <v>4983584.36425355</v>
      </c>
      <c r="AG80" t="n">
        <v>3457.67063693813</v>
      </c>
      <c r="AH80" t="n">
        <v>0</v>
      </c>
      <c r="AI80" t="n">
        <v>0</v>
      </c>
      <c r="AJ80" t="n">
        <v>4786173.95270033</v>
      </c>
      <c r="AK80" t="n">
        <v>11012.9564193168</v>
      </c>
      <c r="AL80" t="n">
        <v>624282.299724999</v>
      </c>
      <c r="AM80" t="n">
        <v>571948.365772534</v>
      </c>
      <c r="AN80" t="n">
        <v>1919961.83726319</v>
      </c>
      <c r="AO80" t="n">
        <v>61581.5395329424</v>
      </c>
      <c r="AP80" t="n">
        <v>43861.3134564244</v>
      </c>
      <c r="AQ80" t="n">
        <v>300851.926654159</v>
      </c>
      <c r="AR80" t="n">
        <v>62708.2041913633</v>
      </c>
      <c r="AS80" t="n">
        <v>2247854.64991373</v>
      </c>
      <c r="AT80" t="n">
        <v>157217.861878651</v>
      </c>
      <c r="AU80" t="n">
        <v>278257.261279354</v>
      </c>
      <c r="AV80" t="n">
        <v>0</v>
      </c>
      <c r="AW80" t="n">
        <v>0</v>
      </c>
      <c r="AX80" t="n">
        <v>8610021.39043849</v>
      </c>
      <c r="AY80" t="n">
        <v>5203575.60264474</v>
      </c>
      <c r="AZ80" t="n">
        <v>1690436.71869884</v>
      </c>
      <c r="BA80" t="n">
        <v>352977.715305347</v>
      </c>
      <c r="BB80" t="n">
        <v>2534357.71358328</v>
      </c>
      <c r="BC80" t="n">
        <v>1718804.08893886</v>
      </c>
      <c r="BD80" t="n">
        <v>6411284.41717791</v>
      </c>
      <c r="BE80" t="n">
        <v>5458102.05638328</v>
      </c>
      <c r="BF80" t="n">
        <v>409403.616263195</v>
      </c>
      <c r="BG80" t="n">
        <v>4838071.65495138</v>
      </c>
      <c r="BH80" t="n">
        <v>4108235.10587231</v>
      </c>
      <c r="BI80" t="n">
        <v>3628084.33370322</v>
      </c>
      <c r="BJ80" t="n">
        <v>1427778.68539999</v>
      </c>
      <c r="BK80" t="n">
        <v>98242.8171860877</v>
      </c>
      <c r="BL80" t="n">
        <v>1171049.71689422</v>
      </c>
      <c r="BM80" t="n">
        <v>7647483.07768101</v>
      </c>
      <c r="BN80" t="n">
        <v>9599082.58565186</v>
      </c>
      <c r="BO80" t="n">
        <v>8049799.73381548</v>
      </c>
      <c r="BP80" t="n">
        <v>9654468.57177253</v>
      </c>
      <c r="BQ80" t="n">
        <v>6662752.53125081</v>
      </c>
      <c r="BR80" t="n">
        <v>1723457.10452708</v>
      </c>
      <c r="BS80" t="n">
        <v>57291178.2235262</v>
      </c>
      <c r="BT80" t="n">
        <v>10002282.7962973</v>
      </c>
      <c r="BU80" t="n">
        <v>335635809.508122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176</v>
      </c>
      <c r="B81" t="n">
        <v>-209840.985057026</v>
      </c>
      <c r="C81" t="n">
        <v>1909573.16544292</v>
      </c>
      <c r="D81" t="n">
        <v>0</v>
      </c>
      <c r="E81" t="n">
        <v>0</v>
      </c>
      <c r="F81" t="n">
        <v>4994285.88128774</v>
      </c>
      <c r="G81" t="n">
        <v>49721651.6470839</v>
      </c>
      <c r="H81" t="n">
        <v>11735353.777025</v>
      </c>
      <c r="I81" t="n">
        <v>0</v>
      </c>
      <c r="J81" t="n">
        <v>510263.041014446</v>
      </c>
      <c r="K81" t="n">
        <v>284234695.057369</v>
      </c>
      <c r="L81" t="n">
        <v>2970614.50194153</v>
      </c>
      <c r="M81" t="n">
        <v>64229.3595113295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186247.565782895</v>
      </c>
      <c r="T81" t="n">
        <v>5869.41459821867</v>
      </c>
      <c r="U81" t="n">
        <v>369828.511719312</v>
      </c>
      <c r="V81" t="n">
        <v>0</v>
      </c>
      <c r="W81" t="n">
        <v>19507368.1351258</v>
      </c>
      <c r="X81" t="n">
        <v>0</v>
      </c>
      <c r="Y81" t="n">
        <v>0</v>
      </c>
      <c r="Z81" t="n">
        <v>103656.346645143</v>
      </c>
      <c r="AA81" t="n">
        <v>458258.746947245</v>
      </c>
      <c r="AB81" t="n">
        <v>0</v>
      </c>
      <c r="AC81" t="n">
        <v>341053.274815279</v>
      </c>
      <c r="AD81" t="n">
        <v>0</v>
      </c>
      <c r="AE81" t="n">
        <v>0</v>
      </c>
      <c r="AF81" t="n">
        <v>1389475.19449449</v>
      </c>
      <c r="AG81" t="n">
        <v>-108052.207404316</v>
      </c>
      <c r="AH81" t="n">
        <v>0</v>
      </c>
      <c r="AI81" t="n">
        <v>-2340711.38604292</v>
      </c>
      <c r="AJ81" t="n">
        <v>3707276.22715157</v>
      </c>
      <c r="AK81" t="n">
        <v>5506.47820965842</v>
      </c>
      <c r="AL81" t="n">
        <v>1197393.91914467</v>
      </c>
      <c r="AM81" t="n">
        <v>9341823.30761806</v>
      </c>
      <c r="AN81" t="n">
        <v>0</v>
      </c>
      <c r="AO81" t="n">
        <v>0</v>
      </c>
      <c r="AP81" t="n">
        <v>77838.3872606968</v>
      </c>
      <c r="AQ81" t="n">
        <v>3958.57798229157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42747.8204847589</v>
      </c>
      <c r="AZ81" t="n">
        <v>0</v>
      </c>
      <c r="BA81" t="n">
        <v>0</v>
      </c>
      <c r="BB81" t="n">
        <v>0</v>
      </c>
      <c r="BC81" t="n">
        <v>786119.699592191</v>
      </c>
      <c r="BD81" t="n">
        <v>0</v>
      </c>
      <c r="BE81" t="n">
        <v>0</v>
      </c>
      <c r="BF81" t="n">
        <v>893539.638669671</v>
      </c>
      <c r="BG81" t="n">
        <v>0</v>
      </c>
      <c r="BH81" t="n">
        <v>0</v>
      </c>
      <c r="BI81" t="n">
        <v>0</v>
      </c>
      <c r="BJ81" t="n">
        <v>0</v>
      </c>
      <c r="BK81" t="n">
        <v>-116875.075617932</v>
      </c>
      <c r="BL81" t="n">
        <v>2364447.71082841</v>
      </c>
      <c r="BM81" t="n">
        <v>0</v>
      </c>
      <c r="BN81" t="n">
        <v>0</v>
      </c>
      <c r="BO81" t="n">
        <v>161667306.388428</v>
      </c>
      <c r="BP81" t="n">
        <v>-520924.563225137</v>
      </c>
      <c r="BQ81" t="n">
        <v>0</v>
      </c>
      <c r="BR81" t="n">
        <v>0</v>
      </c>
      <c r="BS81" t="n">
        <v>0</v>
      </c>
      <c r="BT81" t="n">
        <v>0</v>
      </c>
      <c r="BU81" t="n">
        <v>629632251.567381</v>
      </c>
      <c r="BV81" t="n">
        <v>-23123052.4977771</v>
      </c>
      <c r="BW81" t="n">
        <v>-990188656.895045</v>
      </c>
      <c r="BX81" t="n">
        <v>0</v>
      </c>
      <c r="BY81" t="n">
        <v>-7293781.88387326</v>
      </c>
      <c r="BZ81" t="n">
        <v>19755246.1094878</v>
      </c>
      <c r="CA81" t="n">
        <v>192998268.36526</v>
      </c>
      <c r="CB81" t="n">
        <v>-155424743.517607</v>
      </c>
      <c r="CC81" t="n">
        <v>0</v>
      </c>
      <c r="CD81" t="n">
        <v>-30616.4217117208</v>
      </c>
      <c r="CE81" t="n">
        <v>0</v>
      </c>
      <c r="CF81" t="n">
        <v>0</v>
      </c>
      <c r="CG81" t="n">
        <v>0</v>
      </c>
      <c r="CH81" t="n">
        <v>-4232720.3016454</v>
      </c>
      <c r="CI81" t="n">
        <v>252585.479121696</v>
      </c>
      <c r="CJ81" t="n">
        <v>0</v>
      </c>
      <c r="CK81" t="n">
        <v>0</v>
      </c>
      <c r="CL81" t="n">
        <v>25704333.2491253</v>
      </c>
      <c r="CM81" t="n">
        <v>-106757828.922154</v>
      </c>
      <c r="CN81" t="n">
        <v>0</v>
      </c>
    </row>
    <row r="82">
      <c r="A82" t="s">
        <v>177</v>
      </c>
      <c r="B82" t="n">
        <v>10876757.7254559</v>
      </c>
      <c r="C82" t="n">
        <v>277196.104661069</v>
      </c>
      <c r="D82" t="n">
        <v>1486380.89766003</v>
      </c>
      <c r="E82" t="n">
        <v>130821.401262198</v>
      </c>
      <c r="F82" t="n">
        <v>1960784.77381543</v>
      </c>
      <c r="G82" t="n">
        <v>15906021.785128</v>
      </c>
      <c r="H82" t="n">
        <v>6290647.23665971</v>
      </c>
      <c r="I82" t="n">
        <v>4154757.76634533</v>
      </c>
      <c r="J82" t="n">
        <v>1961530.65117242</v>
      </c>
      <c r="K82" t="n">
        <v>6982886.03688682</v>
      </c>
      <c r="L82" t="n">
        <v>3760008.56539453</v>
      </c>
      <c r="M82" t="n">
        <v>12488022.6135599</v>
      </c>
      <c r="N82" t="n">
        <v>1176592.41321694</v>
      </c>
      <c r="O82" t="n">
        <v>4043824.07777474</v>
      </c>
      <c r="P82" t="n">
        <v>27988420.759809</v>
      </c>
      <c r="Q82" t="n">
        <v>3997665.99303865</v>
      </c>
      <c r="R82" t="n">
        <v>3994342.41179459</v>
      </c>
      <c r="S82" t="n">
        <v>873778.47351337</v>
      </c>
      <c r="T82" t="n">
        <v>12983145.0912597</v>
      </c>
      <c r="U82" t="n">
        <v>1793668.28183866</v>
      </c>
      <c r="V82" t="n">
        <v>153758.187090902</v>
      </c>
      <c r="W82" t="n">
        <v>6420570.5081267</v>
      </c>
      <c r="X82" t="n">
        <v>410772.78860727</v>
      </c>
      <c r="Y82" t="n">
        <v>108313755.357475</v>
      </c>
      <c r="Z82" t="n">
        <v>6849956.90746651</v>
      </c>
      <c r="AA82" t="n">
        <v>6339245.99943689</v>
      </c>
      <c r="AB82" t="n">
        <v>34882915.3017603</v>
      </c>
      <c r="AC82" t="n">
        <v>963475.501353163</v>
      </c>
      <c r="AD82" t="n">
        <v>2585626.26091746</v>
      </c>
      <c r="AE82" t="n">
        <v>11482313.6718879</v>
      </c>
      <c r="AF82" t="n">
        <v>21058268.5032275</v>
      </c>
      <c r="AG82" t="n">
        <v>7296117.25276907</v>
      </c>
      <c r="AH82" t="n">
        <v>1161347.59450916</v>
      </c>
      <c r="AI82" t="n">
        <v>23905953.9918809</v>
      </c>
      <c r="AJ82" t="n">
        <v>11397291.930531</v>
      </c>
      <c r="AK82" t="n">
        <v>28909.0106007067</v>
      </c>
      <c r="AL82" t="n">
        <v>1089935.49050348</v>
      </c>
      <c r="AM82" t="n">
        <v>2796192.0104435</v>
      </c>
      <c r="AN82" t="n">
        <v>1017811.09445277</v>
      </c>
      <c r="AO82" t="n">
        <v>779286.391180508</v>
      </c>
      <c r="AP82" t="n">
        <v>318766.728781901</v>
      </c>
      <c r="AQ82" t="n">
        <v>24285875.9213588</v>
      </c>
      <c r="AR82" t="n">
        <v>512220.479780938</v>
      </c>
      <c r="AS82" t="n">
        <v>16460895.2436802</v>
      </c>
      <c r="AT82" t="n">
        <v>27550118.266853</v>
      </c>
      <c r="AU82" t="n">
        <v>5452338.22777112</v>
      </c>
      <c r="AV82" t="n">
        <v>1054529.91452991</v>
      </c>
      <c r="AW82" t="n">
        <v>134370.456889617</v>
      </c>
      <c r="AX82" t="n">
        <v>2780488.9493382</v>
      </c>
      <c r="AY82" t="n">
        <v>5988581.03336486</v>
      </c>
      <c r="AZ82" t="n">
        <v>769039.880609772</v>
      </c>
      <c r="BA82" t="n">
        <v>3111777.22703398</v>
      </c>
      <c r="BB82" t="n">
        <v>6974719.98862176</v>
      </c>
      <c r="BC82" t="n">
        <v>6292288.61241377</v>
      </c>
      <c r="BD82" t="n">
        <v>6563276.07361963</v>
      </c>
      <c r="BE82" t="n">
        <v>643481.505594661</v>
      </c>
      <c r="BF82" t="n">
        <v>1406918.77652352</v>
      </c>
      <c r="BG82" t="n">
        <v>0</v>
      </c>
      <c r="BH82" t="n">
        <v>0</v>
      </c>
      <c r="BI82" t="n">
        <v>2080813.07374155</v>
      </c>
      <c r="BJ82" t="n">
        <v>0</v>
      </c>
      <c r="BK82" t="n">
        <v>293881.530720452</v>
      </c>
      <c r="BL82" t="n">
        <v>1041429.71006242</v>
      </c>
      <c r="BM82" t="n">
        <v>6541363.33078451</v>
      </c>
      <c r="BN82" t="n">
        <v>12550256.8433765</v>
      </c>
      <c r="BO82" t="n">
        <v>24422676.5355833</v>
      </c>
      <c r="BP82" t="n">
        <v>61239891.652747</v>
      </c>
      <c r="BQ82" t="n">
        <v>14647171.2588991</v>
      </c>
      <c r="BR82" t="n">
        <v>28486.8942897038</v>
      </c>
      <c r="BS82" t="n">
        <v>0</v>
      </c>
      <c r="BT82" t="n">
        <v>0</v>
      </c>
      <c r="BU82" t="n">
        <v>-568961247.715162</v>
      </c>
      <c r="BV82" t="n">
        <v>0</v>
      </c>
      <c r="BW82" t="n">
        <v>0</v>
      </c>
      <c r="BX82" t="n">
        <v>74811606.6772969</v>
      </c>
      <c r="BY82" t="n">
        <v>0</v>
      </c>
      <c r="BZ82" t="n">
        <v>0</v>
      </c>
      <c r="CA82" t="n">
        <v>1610447318.1791</v>
      </c>
      <c r="CB82" t="n">
        <v>-1674809685.2291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257</v>
      </c>
    </row>
    <row r="2">
      <c r="A2" t="s">
        <v>258</v>
      </c>
    </row>
    <row r="3">
      <c r="A3" t="s">
        <v>259</v>
      </c>
    </row>
    <row r="4">
      <c r="A4" t="s">
        <v>52</v>
      </c>
    </row>
    <row r="5">
      <c r="A5" t="s">
        <v>1</v>
      </c>
    </row>
    <row r="6">
      <c r="A6" t="s">
        <v>260</v>
      </c>
    </row>
    <row r="7">
      <c r="A7" t="s">
        <v>1</v>
      </c>
    </row>
    <row r="9">
      <c r="A9" t="s">
        <v>261</v>
      </c>
      <c r="B9" t="s">
        <v>262</v>
      </c>
      <c r="C9" t="s">
        <v>263</v>
      </c>
      <c r="D9" t="s">
        <v>264</v>
      </c>
      <c r="E9" t="s">
        <v>265</v>
      </c>
    </row>
    <row r="10">
      <c r="A10" t="s">
        <v>266</v>
      </c>
      <c r="B10" t="n">
        <v>12031000</v>
      </c>
      <c r="C10" t="s">
        <v>267</v>
      </c>
      <c r="D10" t="n">
        <v>600000000</v>
      </c>
      <c r="E10" t="s">
        <v>268</v>
      </c>
    </row>
    <row r="11">
      <c r="A11" t="s">
        <v>269</v>
      </c>
      <c r="B11" t="n">
        <v>1000000</v>
      </c>
      <c r="C11" t="s">
        <v>267</v>
      </c>
      <c r="D11" t="n">
        <v>40000000</v>
      </c>
      <c r="E11" t="s">
        <v>270</v>
      </c>
    </row>
    <row r="12">
      <c r="A12" t="s">
        <v>271</v>
      </c>
      <c r="B12" t="n">
        <v>4220000</v>
      </c>
      <c r="C12" t="s">
        <v>267</v>
      </c>
      <c r="D12" t="n">
        <v>125000000</v>
      </c>
      <c r="E12" t="s">
        <v>272</v>
      </c>
    </row>
    <row r="13">
      <c r="A13" t="s">
        <v>273</v>
      </c>
      <c r="B13" t="n">
        <v>0</v>
      </c>
      <c r="C13" t="s">
        <v>267</v>
      </c>
      <c r="D13" t="n">
        <v>0</v>
      </c>
      <c r="E13"/>
    </row>
    <row r="14">
      <c r="A14" t="s">
        <v>274</v>
      </c>
      <c r="B14" t="n">
        <v>0</v>
      </c>
      <c r="C14" t="s">
        <v>267</v>
      </c>
      <c r="D14" t="n">
        <v>0</v>
      </c>
      <c r="E14"/>
    </row>
    <row r="15">
      <c r="A15" t="s">
        <v>275</v>
      </c>
      <c r="B15" t="n">
        <v>10710000</v>
      </c>
      <c r="C15" t="s">
        <v>267</v>
      </c>
      <c r="D15" t="n">
        <v>330000000</v>
      </c>
      <c r="E15" t="s">
        <v>276</v>
      </c>
    </row>
    <row r="16">
      <c r="A16" t="s">
        <v>277</v>
      </c>
      <c r="B16" t="n">
        <v>0</v>
      </c>
      <c r="C16" t="s">
        <v>267</v>
      </c>
      <c r="D16" t="n">
        <v>0</v>
      </c>
      <c r="E16"/>
    </row>
    <row r="17">
      <c r="A17" t="s">
        <v>278</v>
      </c>
      <c r="B17" t="n">
        <v>0</v>
      </c>
      <c r="C17" t="s">
        <v>267</v>
      </c>
      <c r="D17" t="n">
        <v>0</v>
      </c>
      <c r="E17"/>
    </row>
    <row r="18">
      <c r="A18" t="s">
        <v>279</v>
      </c>
      <c r="B18" t="n">
        <v>0</v>
      </c>
      <c r="C18" t="s">
        <v>267</v>
      </c>
      <c r="D18" t="n">
        <v>0</v>
      </c>
      <c r="E18"/>
    </row>
    <row r="19">
      <c r="A19" t="s">
        <v>280</v>
      </c>
      <c r="B19" t="n">
        <v>0</v>
      </c>
      <c r="C19" t="s">
        <v>267</v>
      </c>
      <c r="D19" t="n">
        <v>0</v>
      </c>
      <c r="E19"/>
    </row>
    <row r="20">
      <c r="A20" t="s">
        <v>281</v>
      </c>
      <c r="B20" t="n">
        <v>0</v>
      </c>
      <c r="C20" t="s">
        <v>267</v>
      </c>
      <c r="D20" t="n">
        <v>0</v>
      </c>
      <c r="E20"/>
    </row>
    <row r="21">
      <c r="A21" t="s">
        <v>282</v>
      </c>
      <c r="B21" t="n">
        <v>0</v>
      </c>
      <c r="C21" t="s">
        <v>267</v>
      </c>
      <c r="D21" t="n">
        <v>0</v>
      </c>
      <c r="E21"/>
    </row>
    <row r="22">
      <c r="A22" t="s">
        <v>283</v>
      </c>
      <c r="B22" t="n">
        <v>0</v>
      </c>
      <c r="C22" t="s">
        <v>267</v>
      </c>
      <c r="D22" t="n">
        <v>0</v>
      </c>
      <c r="E22"/>
    </row>
    <row r="23">
      <c r="A23" t="s">
        <v>284</v>
      </c>
      <c r="B23" t="n">
        <v>45919000</v>
      </c>
      <c r="C23" t="s">
        <v>267</v>
      </c>
      <c r="D23" t="n">
        <v>1950000000</v>
      </c>
      <c r="E23" t="s">
        <v>285</v>
      </c>
    </row>
    <row r="24">
      <c r="A24" t="s">
        <v>286</v>
      </c>
      <c r="B24" t="n">
        <v>28820000</v>
      </c>
      <c r="C24" t="s">
        <v>267</v>
      </c>
      <c r="D24" t="n">
        <v>1210000000</v>
      </c>
      <c r="E24" t="s">
        <v>285</v>
      </c>
    </row>
    <row r="25">
      <c r="A25" t="s">
        <v>287</v>
      </c>
      <c r="B25" t="n">
        <v>0</v>
      </c>
      <c r="C25" t="s">
        <v>267</v>
      </c>
      <c r="D25" t="n">
        <v>0</v>
      </c>
      <c r="E25"/>
    </row>
    <row r="26">
      <c r="A26" t="s">
        <v>288</v>
      </c>
      <c r="B26" t="n">
        <v>0</v>
      </c>
      <c r="C26" t="s">
        <v>267</v>
      </c>
      <c r="D26" t="n">
        <v>0</v>
      </c>
      <c r="E26"/>
    </row>
    <row r="27">
      <c r="A27" t="s">
        <v>289</v>
      </c>
      <c r="B27" t="n">
        <v>36140000</v>
      </c>
      <c r="C27" t="s">
        <v>267</v>
      </c>
      <c r="D27" t="n">
        <v>1730000000</v>
      </c>
      <c r="E27" t="s">
        <v>290</v>
      </c>
    </row>
    <row r="28">
      <c r="A28" t="s">
        <v>291</v>
      </c>
      <c r="B28" t="n">
        <v>2720000</v>
      </c>
      <c r="C28" t="s">
        <v>267</v>
      </c>
      <c r="D28" t="n">
        <v>60000000</v>
      </c>
      <c r="E28" t="s">
        <v>292</v>
      </c>
    </row>
    <row r="29">
      <c r="A29" t="s">
        <v>293</v>
      </c>
      <c r="B29" t="n">
        <v>0</v>
      </c>
      <c r="C29" t="s">
        <v>267</v>
      </c>
      <c r="D29" t="n">
        <v>0</v>
      </c>
      <c r="E29"/>
    </row>
    <row r="30">
      <c r="A30" t="s">
        <v>294</v>
      </c>
      <c r="B30" t="n">
        <v>1320000</v>
      </c>
      <c r="C30" t="s">
        <v>267</v>
      </c>
      <c r="D30" t="n">
        <v>70000000</v>
      </c>
      <c r="E30" t="s">
        <v>295</v>
      </c>
    </row>
    <row r="31">
      <c r="A31" t="s">
        <v>296</v>
      </c>
      <c r="B31" t="n">
        <v>0</v>
      </c>
      <c r="C31" t="s">
        <v>267</v>
      </c>
      <c r="D31" t="n">
        <v>0</v>
      </c>
      <c r="E31"/>
    </row>
    <row r="32">
      <c r="A32" t="s">
        <v>297</v>
      </c>
      <c r="B32" t="n">
        <v>0</v>
      </c>
      <c r="C32" t="s">
        <v>267</v>
      </c>
      <c r="D32" t="n">
        <v>0</v>
      </c>
      <c r="E32"/>
    </row>
    <row r="33">
      <c r="A33" t="s">
        <v>298</v>
      </c>
      <c r="B33" t="n">
        <v>0</v>
      </c>
      <c r="C33" t="s">
        <v>267</v>
      </c>
      <c r="D33" t="n">
        <v>0</v>
      </c>
      <c r="E33"/>
    </row>
    <row r="34">
      <c r="A34" t="s">
        <v>299</v>
      </c>
      <c r="B34" t="n">
        <v>2800000</v>
      </c>
      <c r="C34" t="s">
        <v>267</v>
      </c>
      <c r="D34" t="n">
        <v>65000000</v>
      </c>
      <c r="E34" t="s">
        <v>300</v>
      </c>
    </row>
    <row r="35">
      <c r="A35" t="s">
        <v>301</v>
      </c>
      <c r="B35" t="n">
        <v>264000</v>
      </c>
      <c r="C35" t="s">
        <v>267</v>
      </c>
      <c r="D35" t="n">
        <v>12000000</v>
      </c>
      <c r="E35"/>
    </row>
    <row r="36">
      <c r="A36" t="s">
        <v>302</v>
      </c>
      <c r="B36" t="n">
        <v>38660000</v>
      </c>
      <c r="C36" t="s">
        <v>267</v>
      </c>
      <c r="D36" t="n">
        <v>590000000</v>
      </c>
      <c r="E36" t="s">
        <v>303</v>
      </c>
    </row>
    <row r="37">
      <c r="A37" t="s">
        <v>304</v>
      </c>
      <c r="B37" t="n">
        <v>0</v>
      </c>
      <c r="C37" t="s">
        <v>267</v>
      </c>
      <c r="D37" t="n">
        <v>0</v>
      </c>
      <c r="E37"/>
    </row>
    <row r="38">
      <c r="A38" t="s">
        <v>305</v>
      </c>
      <c r="B38" t="n">
        <v>0</v>
      </c>
      <c r="C38" t="s">
        <v>267</v>
      </c>
      <c r="D38" t="n">
        <v>0</v>
      </c>
      <c r="E38"/>
    </row>
    <row r="39">
      <c r="A39" t="s">
        <v>306</v>
      </c>
      <c r="B39" t="n">
        <v>0</v>
      </c>
      <c r="C39" t="s">
        <v>267</v>
      </c>
      <c r="D39" t="n">
        <v>0</v>
      </c>
      <c r="E39"/>
    </row>
    <row r="40">
      <c r="A40" t="s">
        <v>307</v>
      </c>
      <c r="B40" t="n">
        <v>0</v>
      </c>
      <c r="C40" t="s">
        <v>267</v>
      </c>
      <c r="D40" t="n">
        <v>0</v>
      </c>
      <c r="E40"/>
    </row>
    <row r="41">
      <c r="A41" t="s">
        <v>308</v>
      </c>
      <c r="B41" t="n">
        <v>10720000</v>
      </c>
      <c r="C41" t="s">
        <v>267</v>
      </c>
      <c r="D41" t="n">
        <v>260000000</v>
      </c>
      <c r="E41" t="s">
        <v>309</v>
      </c>
    </row>
    <row r="42">
      <c r="A42" t="s">
        <v>310</v>
      </c>
      <c r="B42" t="n">
        <v>0</v>
      </c>
      <c r="C42" t="s">
        <v>267</v>
      </c>
      <c r="D42" t="n">
        <v>0</v>
      </c>
      <c r="E42"/>
    </row>
    <row r="43">
      <c r="A43" t="s">
        <v>311</v>
      </c>
      <c r="B43" t="n">
        <v>0</v>
      </c>
      <c r="C43" t="s">
        <v>267</v>
      </c>
      <c r="D43" t="n">
        <v>0</v>
      </c>
      <c r="E43"/>
    </row>
    <row r="44">
      <c r="A44" t="s">
        <v>312</v>
      </c>
      <c r="B44" t="n">
        <v>27870000</v>
      </c>
      <c r="C44" t="s">
        <v>267</v>
      </c>
      <c r="D44" t="n">
        <v>560000000</v>
      </c>
      <c r="E44" t="s">
        <v>313</v>
      </c>
    </row>
    <row r="45">
      <c r="A45" t="s">
        <v>314</v>
      </c>
      <c r="B45" t="n">
        <v>8220000</v>
      </c>
      <c r="C45" t="s">
        <v>267</v>
      </c>
      <c r="D45" t="n">
        <v>430000000</v>
      </c>
      <c r="E45" t="s">
        <v>315</v>
      </c>
    </row>
    <row r="46">
      <c r="A46" t="s">
        <v>316</v>
      </c>
      <c r="B46" t="n">
        <v>930000</v>
      </c>
      <c r="C46" t="s">
        <v>267</v>
      </c>
      <c r="D46" t="n">
        <v>40000000</v>
      </c>
      <c r="E46"/>
    </row>
    <row r="47">
      <c r="A47" t="s">
        <v>317</v>
      </c>
      <c r="B47" t="n">
        <v>0</v>
      </c>
      <c r="C47" t="s">
        <v>267</v>
      </c>
      <c r="D47" t="n">
        <v>0</v>
      </c>
      <c r="E47"/>
    </row>
    <row r="48">
      <c r="A48" t="s">
        <v>318</v>
      </c>
      <c r="B48" t="n">
        <v>50110000</v>
      </c>
      <c r="C48" t="s">
        <v>267</v>
      </c>
      <c r="D48" t="n">
        <v>3000000000</v>
      </c>
      <c r="E48" t="s">
        <v>319</v>
      </c>
    </row>
    <row r="49">
      <c r="A49" t="s">
        <v>320</v>
      </c>
      <c r="B49" t="n">
        <v>0</v>
      </c>
      <c r="C49" t="s">
        <v>267</v>
      </c>
      <c r="D49" t="n">
        <v>0</v>
      </c>
      <c r="E49"/>
    </row>
    <row r="50">
      <c r="A50" t="s">
        <v>321</v>
      </c>
      <c r="B50" t="n">
        <v>0</v>
      </c>
      <c r="C50" t="s">
        <v>267</v>
      </c>
      <c r="D50" t="n">
        <v>0</v>
      </c>
      <c r="E50"/>
    </row>
    <row r="51">
      <c r="A51" t="s">
        <v>322</v>
      </c>
      <c r="B51" t="n">
        <v>0</v>
      </c>
      <c r="C51" t="s">
        <v>267</v>
      </c>
      <c r="D51" t="n">
        <v>0</v>
      </c>
      <c r="E51"/>
    </row>
    <row r="52">
      <c r="A52" t="s">
        <v>323</v>
      </c>
      <c r="B52" t="n">
        <v>400000</v>
      </c>
      <c r="C52" t="s">
        <v>267</v>
      </c>
      <c r="D52" t="n">
        <v>22000000</v>
      </c>
      <c r="E52" t="s">
        <v>324</v>
      </c>
    </row>
    <row r="53">
      <c r="A53" t="s">
        <v>325</v>
      </c>
      <c r="B53" t="n">
        <v>22820000</v>
      </c>
      <c r="C53" t="s">
        <v>267</v>
      </c>
      <c r="D53" t="n">
        <v>500000000</v>
      </c>
      <c r="E53" t="s">
        <v>292</v>
      </c>
    </row>
    <row r="54">
      <c r="A54" t="s">
        <v>326</v>
      </c>
      <c r="B54" t="n">
        <v>12810000</v>
      </c>
      <c r="C54" t="s">
        <v>267</v>
      </c>
      <c r="D54" t="n">
        <v>380000000</v>
      </c>
      <c r="E54" t="s">
        <v>327</v>
      </c>
    </row>
    <row r="55">
      <c r="A55" t="s">
        <v>328</v>
      </c>
      <c r="B55" t="n">
        <v>0</v>
      </c>
      <c r="C55" t="s">
        <v>267</v>
      </c>
      <c r="D55" t="n">
        <v>0</v>
      </c>
      <c r="E55"/>
    </row>
    <row r="56">
      <c r="A56" t="s">
        <v>329</v>
      </c>
      <c r="B56" t="n">
        <v>11480000</v>
      </c>
      <c r="C56" t="s">
        <v>267</v>
      </c>
      <c r="D56" t="n">
        <v>620000000</v>
      </c>
      <c r="E56" t="s">
        <v>330</v>
      </c>
    </row>
    <row r="57">
      <c r="A57" t="s">
        <v>331</v>
      </c>
      <c r="B57" t="n">
        <v>3050000</v>
      </c>
      <c r="C57" t="s">
        <v>267</v>
      </c>
      <c r="D57" t="n">
        <v>90000000</v>
      </c>
      <c r="E57" t="s">
        <v>332</v>
      </c>
    </row>
    <row r="58">
      <c r="A58" t="s">
        <v>333</v>
      </c>
      <c r="B58" t="n">
        <v>93320000</v>
      </c>
      <c r="C58" t="s">
        <v>267</v>
      </c>
      <c r="D58" t="n">
        <v>5050000000</v>
      </c>
      <c r="E58" t="s">
        <v>334</v>
      </c>
    </row>
    <row r="59">
      <c r="A59" t="s">
        <v>335</v>
      </c>
      <c r="B59" t="n">
        <v>0</v>
      </c>
      <c r="C59" t="s">
        <v>267</v>
      </c>
      <c r="D59" t="n">
        <v>0</v>
      </c>
      <c r="E59"/>
    </row>
    <row r="60">
      <c r="A60" t="s">
        <v>336</v>
      </c>
      <c r="B60" t="n">
        <v>276040000</v>
      </c>
      <c r="C60" t="s">
        <v>267</v>
      </c>
      <c r="D60" t="n">
        <v>3690000000</v>
      </c>
      <c r="E60" t="s">
        <v>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338</v>
      </c>
    </row>
    <row r="2">
      <c r="A2" t="s">
        <v>339</v>
      </c>
    </row>
    <row r="3">
      <c r="A3" t="s">
        <v>340</v>
      </c>
    </row>
    <row r="4">
      <c r="A4" t="s">
        <v>1</v>
      </c>
    </row>
    <row r="5">
      <c r="A5" t="s">
        <v>341</v>
      </c>
    </row>
    <row r="6">
      <c r="A6" t="s">
        <v>342</v>
      </c>
    </row>
    <row r="7">
      <c r="A7" t="s">
        <v>343</v>
      </c>
    </row>
    <row r="8">
      <c r="A8" t="s">
        <v>344</v>
      </c>
    </row>
    <row r="9">
      <c r="A9" t="s">
        <v>345</v>
      </c>
    </row>
    <row r="10">
      <c r="A10" t="s">
        <v>346</v>
      </c>
    </row>
    <row r="11">
      <c r="A11" t="s">
        <v>347</v>
      </c>
    </row>
    <row r="12">
      <c r="A12" t="s">
        <v>348</v>
      </c>
    </row>
    <row r="13">
      <c r="A13" t="s">
        <v>1</v>
      </c>
    </row>
    <row r="14">
      <c r="A14" t="s">
        <v>349</v>
      </c>
    </row>
    <row r="15">
      <c r="A15" t="s">
        <v>1</v>
      </c>
    </row>
    <row r="17">
      <c r="A17" t="s">
        <v>350</v>
      </c>
    </row>
    <row r="18">
      <c r="A18" t="s">
        <v>351</v>
      </c>
    </row>
    <row r="20">
      <c r="A20" t="s">
        <v>352</v>
      </c>
    </row>
    <row r="21">
      <c r="A21" t="s">
        <v>353</v>
      </c>
    </row>
    <row r="23">
      <c r="A23" t="s">
        <v>354</v>
      </c>
    </row>
    <row r="25">
      <c r="A25" t="s">
        <v>261</v>
      </c>
      <c r="B25" t="s">
        <v>355</v>
      </c>
      <c r="C25" t="s">
        <v>356</v>
      </c>
      <c r="D25" t="s">
        <v>357</v>
      </c>
      <c r="E25" t="s">
        <v>358</v>
      </c>
    </row>
    <row r="26">
      <c r="A26" t="s">
        <v>269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266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273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271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274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275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277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279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278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280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281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282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287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283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284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286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288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289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291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296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294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293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297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298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301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299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302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311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312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304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306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307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308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305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310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314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316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317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318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320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321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322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323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325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326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329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328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331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335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333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336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0.71" hidden="0" customWidth="1"/>
  </cols>
  <sheetData>
    <row r="1">
      <c r="A1" t="s">
        <v>359</v>
      </c>
    </row>
    <row r="2">
      <c r="A2" t="s">
        <v>1</v>
      </c>
    </row>
    <row r="3">
      <c r="A3" t="s">
        <v>360</v>
      </c>
    </row>
    <row r="4">
      <c r="A4" t="s">
        <v>361</v>
      </c>
    </row>
    <row r="5">
      <c r="A5" t="s">
        <v>362</v>
      </c>
    </row>
    <row r="6">
      <c r="A6" t="s">
        <v>1</v>
      </c>
    </row>
    <row r="8">
      <c r="A8" t="s">
        <v>363</v>
      </c>
      <c r="B8" t="s">
        <v>364</v>
      </c>
      <c r="C8" t="s">
        <v>188</v>
      </c>
      <c r="D8" t="s">
        <v>365</v>
      </c>
      <c r="E8" t="s">
        <v>366</v>
      </c>
      <c r="F8" t="s">
        <v>367</v>
      </c>
      <c r="G8" t="s">
        <v>368</v>
      </c>
    </row>
    <row r="9">
      <c r="A9" t="s">
        <v>105</v>
      </c>
      <c r="B9" t="s">
        <v>369</v>
      </c>
      <c r="C9" t="s">
        <v>190</v>
      </c>
      <c r="D9" t="s">
        <v>370</v>
      </c>
      <c r="E9" t="n">
        <v>1</v>
      </c>
      <c r="F9"/>
      <c r="G9"/>
    </row>
    <row r="10">
      <c r="A10" t="s">
        <v>106</v>
      </c>
      <c r="B10" t="s">
        <v>371</v>
      </c>
      <c r="C10" t="s">
        <v>190</v>
      </c>
      <c r="D10" t="s">
        <v>370</v>
      </c>
      <c r="E10" t="n">
        <v>1</v>
      </c>
      <c r="F10"/>
      <c r="G10"/>
    </row>
    <row r="11">
      <c r="A11" t="s">
        <v>107</v>
      </c>
      <c r="B11" t="s">
        <v>372</v>
      </c>
      <c r="C11" t="s">
        <v>192</v>
      </c>
      <c r="D11" t="s">
        <v>373</v>
      </c>
      <c r="E11" t="n">
        <v>1</v>
      </c>
      <c r="F11"/>
      <c r="G11"/>
    </row>
    <row r="12">
      <c r="A12" t="s">
        <v>109</v>
      </c>
      <c r="B12" t="s">
        <v>374</v>
      </c>
      <c r="C12" t="s">
        <v>194</v>
      </c>
      <c r="D12" t="s">
        <v>375</v>
      </c>
      <c r="E12" t="n">
        <v>1</v>
      </c>
      <c r="F12"/>
      <c r="G12"/>
    </row>
    <row r="13">
      <c r="A13" t="s">
        <v>110</v>
      </c>
      <c r="B13" t="s">
        <v>376</v>
      </c>
      <c r="C13" t="s">
        <v>213</v>
      </c>
      <c r="D13" t="s">
        <v>377</v>
      </c>
      <c r="E13" t="n">
        <v>0.72</v>
      </c>
      <c r="F13" t="s">
        <v>378</v>
      </c>
      <c r="G13"/>
    </row>
    <row r="14">
      <c r="A14" t="s">
        <v>110</v>
      </c>
      <c r="B14" t="s">
        <v>376</v>
      </c>
      <c r="C14" t="s">
        <v>214</v>
      </c>
      <c r="D14" t="s">
        <v>379</v>
      </c>
      <c r="E14" t="n">
        <v>0.2</v>
      </c>
      <c r="F14" t="s">
        <v>380</v>
      </c>
      <c r="G14"/>
    </row>
    <row r="15">
      <c r="A15" t="s">
        <v>110</v>
      </c>
      <c r="B15" t="s">
        <v>376</v>
      </c>
      <c r="C15" t="s">
        <v>215</v>
      </c>
      <c r="D15" t="s">
        <v>381</v>
      </c>
      <c r="E15" t="n">
        <v>0.08</v>
      </c>
      <c r="F15" t="s">
        <v>382</v>
      </c>
      <c r="G15"/>
    </row>
    <row r="16">
      <c r="A16" t="s">
        <v>111</v>
      </c>
      <c r="B16" t="s">
        <v>383</v>
      </c>
      <c r="C16" t="s">
        <v>216</v>
      </c>
      <c r="D16" t="s">
        <v>383</v>
      </c>
      <c r="E16" t="n">
        <v>1</v>
      </c>
      <c r="F16"/>
      <c r="G16"/>
    </row>
    <row r="17">
      <c r="A17" t="s">
        <v>123</v>
      </c>
      <c r="B17" t="s">
        <v>384</v>
      </c>
      <c r="C17" t="s">
        <v>195</v>
      </c>
      <c r="D17" t="s">
        <v>385</v>
      </c>
      <c r="E17" t="n">
        <v>1</v>
      </c>
      <c r="F17"/>
      <c r="G17"/>
    </row>
    <row r="18">
      <c r="A18" t="s">
        <v>124</v>
      </c>
      <c r="B18" t="s">
        <v>386</v>
      </c>
      <c r="C18" t="s">
        <v>196</v>
      </c>
      <c r="D18" t="s">
        <v>387</v>
      </c>
      <c r="E18" t="n">
        <v>1</v>
      </c>
      <c r="F18"/>
      <c r="G18"/>
    </row>
    <row r="19">
      <c r="A19" t="s">
        <v>125</v>
      </c>
      <c r="B19" t="s">
        <v>388</v>
      </c>
      <c r="C19" t="s">
        <v>196</v>
      </c>
      <c r="D19" t="s">
        <v>387</v>
      </c>
      <c r="E19" t="n">
        <v>1</v>
      </c>
      <c r="F19"/>
      <c r="G19"/>
    </row>
    <row r="20">
      <c r="A20" t="s">
        <v>112</v>
      </c>
      <c r="B20" t="s">
        <v>389</v>
      </c>
      <c r="C20" t="s">
        <v>197</v>
      </c>
      <c r="D20" t="s">
        <v>390</v>
      </c>
      <c r="E20" t="n">
        <v>1</v>
      </c>
      <c r="F20"/>
      <c r="G20"/>
    </row>
    <row r="21">
      <c r="A21" t="s">
        <v>126</v>
      </c>
      <c r="B21" t="s">
        <v>391</v>
      </c>
      <c r="C21" t="s">
        <v>198</v>
      </c>
      <c r="D21" t="s">
        <v>392</v>
      </c>
      <c r="E21" t="n">
        <v>1</v>
      </c>
      <c r="F21"/>
      <c r="G21"/>
    </row>
    <row r="22">
      <c r="A22" t="s">
        <v>127</v>
      </c>
      <c r="B22" t="s">
        <v>393</v>
      </c>
      <c r="C22" t="s">
        <v>198</v>
      </c>
      <c r="D22" t="s">
        <v>392</v>
      </c>
      <c r="E22" t="n">
        <v>1</v>
      </c>
      <c r="F22"/>
      <c r="G22"/>
    </row>
    <row r="23">
      <c r="A23" t="s">
        <v>128</v>
      </c>
      <c r="B23" t="s">
        <v>394</v>
      </c>
      <c r="C23" t="s">
        <v>199</v>
      </c>
      <c r="D23" t="s">
        <v>395</v>
      </c>
      <c r="E23" t="n">
        <v>0.961</v>
      </c>
      <c r="F23" t="s">
        <v>396</v>
      </c>
      <c r="G23"/>
    </row>
    <row r="24">
      <c r="A24" t="s">
        <v>128</v>
      </c>
      <c r="B24" t="s">
        <v>394</v>
      </c>
      <c r="C24" t="s">
        <v>204</v>
      </c>
      <c r="D24" t="s">
        <v>397</v>
      </c>
      <c r="E24" t="n">
        <v>0.039</v>
      </c>
      <c r="F24" t="s">
        <v>398</v>
      </c>
      <c r="G24"/>
    </row>
    <row r="25">
      <c r="A25" t="s">
        <v>130</v>
      </c>
      <c r="B25" t="s">
        <v>399</v>
      </c>
      <c r="C25" t="s">
        <v>110</v>
      </c>
      <c r="D25" t="s">
        <v>400</v>
      </c>
      <c r="E25" t="n">
        <v>1</v>
      </c>
      <c r="F25"/>
      <c r="G25"/>
    </row>
    <row r="26">
      <c r="A26" t="s">
        <v>115</v>
      </c>
      <c r="B26" t="s">
        <v>401</v>
      </c>
      <c r="C26" t="s">
        <v>206</v>
      </c>
      <c r="D26" t="s">
        <v>401</v>
      </c>
      <c r="E26" t="n">
        <v>1</v>
      </c>
      <c r="F26"/>
      <c r="G26"/>
    </row>
    <row r="27">
      <c r="A27" t="s">
        <v>116</v>
      </c>
      <c r="B27" t="s">
        <v>402</v>
      </c>
      <c r="C27" t="s">
        <v>209</v>
      </c>
      <c r="D27" t="s">
        <v>403</v>
      </c>
      <c r="E27" t="n">
        <v>1</v>
      </c>
      <c r="F27"/>
      <c r="G27"/>
    </row>
    <row r="28">
      <c r="A28" t="s">
        <v>117</v>
      </c>
      <c r="B28" t="s">
        <v>404</v>
      </c>
      <c r="C28" t="s">
        <v>207</v>
      </c>
      <c r="D28" t="s">
        <v>405</v>
      </c>
      <c r="E28" t="n">
        <v>1</v>
      </c>
      <c r="F28"/>
      <c r="G28"/>
    </row>
    <row r="29">
      <c r="A29" t="s">
        <v>118</v>
      </c>
      <c r="B29" t="s">
        <v>406</v>
      </c>
      <c r="C29" t="s">
        <v>208</v>
      </c>
      <c r="D29" t="s">
        <v>407</v>
      </c>
      <c r="E29" t="n">
        <v>1</v>
      </c>
      <c r="F29"/>
      <c r="G29"/>
    </row>
    <row r="30">
      <c r="A30" t="s">
        <v>119</v>
      </c>
      <c r="B30" t="s">
        <v>408</v>
      </c>
      <c r="C30" t="s">
        <v>210</v>
      </c>
      <c r="D30" t="s">
        <v>409</v>
      </c>
      <c r="E30" t="n">
        <v>1</v>
      </c>
      <c r="F30"/>
      <c r="G30"/>
    </row>
    <row r="31">
      <c r="A31" t="s">
        <v>120</v>
      </c>
      <c r="B31" t="s">
        <v>410</v>
      </c>
      <c r="C31" t="s">
        <v>211</v>
      </c>
      <c r="D31" t="s">
        <v>411</v>
      </c>
      <c r="E31" t="n">
        <v>1</v>
      </c>
      <c r="F31"/>
      <c r="G31"/>
    </row>
    <row r="32">
      <c r="A32" t="s">
        <v>121</v>
      </c>
      <c r="B32" t="s">
        <v>412</v>
      </c>
      <c r="C32" t="s">
        <v>212</v>
      </c>
      <c r="D32" t="s">
        <v>413</v>
      </c>
      <c r="E32" t="n">
        <v>1</v>
      </c>
      <c r="F32"/>
      <c r="G32"/>
    </row>
    <row r="33">
      <c r="A33" t="s">
        <v>122</v>
      </c>
      <c r="B33" t="s">
        <v>414</v>
      </c>
      <c r="C33" t="s">
        <v>212</v>
      </c>
      <c r="D33" t="s">
        <v>413</v>
      </c>
      <c r="E33" t="n">
        <v>1</v>
      </c>
      <c r="F33"/>
      <c r="G33"/>
    </row>
    <row r="34">
      <c r="A34" t="s">
        <v>131</v>
      </c>
      <c r="B34" t="s">
        <v>415</v>
      </c>
      <c r="C34" t="s">
        <v>217</v>
      </c>
      <c r="D34" t="s">
        <v>416</v>
      </c>
      <c r="E34" t="n">
        <v>1</v>
      </c>
      <c r="F34"/>
      <c r="G34"/>
    </row>
    <row r="35">
      <c r="A35" t="s">
        <v>132</v>
      </c>
      <c r="B35" t="s">
        <v>417</v>
      </c>
      <c r="C35" t="s">
        <v>217</v>
      </c>
      <c r="D35" t="s">
        <v>416</v>
      </c>
      <c r="E35" t="n">
        <v>1</v>
      </c>
      <c r="F35"/>
      <c r="G35"/>
    </row>
    <row r="36">
      <c r="A36" t="s">
        <v>133</v>
      </c>
      <c r="B36" t="s">
        <v>418</v>
      </c>
      <c r="C36" t="s">
        <v>217</v>
      </c>
      <c r="D36" t="s">
        <v>416</v>
      </c>
      <c r="E36" t="n">
        <v>1</v>
      </c>
      <c r="F36"/>
      <c r="G36"/>
    </row>
    <row r="37">
      <c r="A37" t="s">
        <v>134</v>
      </c>
      <c r="B37" t="s">
        <v>419</v>
      </c>
      <c r="C37" t="s">
        <v>217</v>
      </c>
      <c r="D37" t="s">
        <v>416</v>
      </c>
      <c r="E37" t="n">
        <v>1</v>
      </c>
      <c r="F37"/>
      <c r="G37"/>
    </row>
    <row r="38">
      <c r="A38" t="s">
        <v>135</v>
      </c>
      <c r="B38" t="s">
        <v>420</v>
      </c>
      <c r="C38" t="s">
        <v>217</v>
      </c>
      <c r="D38" t="s">
        <v>416</v>
      </c>
      <c r="E38" t="n">
        <v>1</v>
      </c>
      <c r="F38"/>
      <c r="G38"/>
    </row>
    <row r="39">
      <c r="A39" t="s">
        <v>136</v>
      </c>
      <c r="B39" t="s">
        <v>421</v>
      </c>
      <c r="C39" t="s">
        <v>218</v>
      </c>
      <c r="D39" t="s">
        <v>422</v>
      </c>
      <c r="E39" t="n">
        <v>1</v>
      </c>
      <c r="F39"/>
      <c r="G39"/>
    </row>
    <row r="40">
      <c r="A40" t="s">
        <v>137</v>
      </c>
      <c r="B40" t="s">
        <v>423</v>
      </c>
      <c r="C40" t="s">
        <v>218</v>
      </c>
      <c r="D40" t="s">
        <v>422</v>
      </c>
      <c r="E40" t="n">
        <v>1</v>
      </c>
      <c r="F40"/>
      <c r="G40"/>
    </row>
    <row r="41">
      <c r="A41" t="s">
        <v>138</v>
      </c>
      <c r="B41" t="s">
        <v>424</v>
      </c>
      <c r="C41" t="s">
        <v>218</v>
      </c>
      <c r="D41" t="s">
        <v>422</v>
      </c>
      <c r="E41" t="n">
        <v>1</v>
      </c>
      <c r="F41"/>
      <c r="G41"/>
    </row>
    <row r="42">
      <c r="A42" t="s">
        <v>139</v>
      </c>
      <c r="B42" t="s">
        <v>425</v>
      </c>
      <c r="C42" t="s">
        <v>218</v>
      </c>
      <c r="D42" t="s">
        <v>422</v>
      </c>
      <c r="E42" t="n">
        <v>1</v>
      </c>
      <c r="F42"/>
      <c r="G42"/>
    </row>
    <row r="43">
      <c r="A43" t="s">
        <v>140</v>
      </c>
      <c r="B43" t="s">
        <v>426</v>
      </c>
      <c r="C43" t="s">
        <v>218</v>
      </c>
      <c r="D43" t="s">
        <v>422</v>
      </c>
      <c r="E43" t="n">
        <v>1</v>
      </c>
      <c r="F43"/>
      <c r="G43"/>
    </row>
    <row r="44">
      <c r="A44" t="s">
        <v>141</v>
      </c>
      <c r="B44" t="s">
        <v>427</v>
      </c>
      <c r="C44" t="s">
        <v>214</v>
      </c>
      <c r="D44" t="s">
        <v>428</v>
      </c>
      <c r="E44" t="n">
        <v>1</v>
      </c>
      <c r="F44" t="s">
        <v>429</v>
      </c>
      <c r="G44"/>
    </row>
    <row r="45">
      <c r="A45" t="s">
        <v>142</v>
      </c>
      <c r="B45" t="s">
        <v>430</v>
      </c>
      <c r="C45" t="s">
        <v>218</v>
      </c>
      <c r="D45" t="s">
        <v>422</v>
      </c>
      <c r="E45" t="n">
        <v>1</v>
      </c>
      <c r="F45"/>
      <c r="G45"/>
    </row>
    <row r="46">
      <c r="A46" t="s">
        <v>143</v>
      </c>
      <c r="B46" t="s">
        <v>431</v>
      </c>
      <c r="C46" t="s">
        <v>218</v>
      </c>
      <c r="D46" t="s">
        <v>422</v>
      </c>
      <c r="E46" t="n">
        <v>1</v>
      </c>
      <c r="F46"/>
      <c r="G46"/>
    </row>
    <row r="47">
      <c r="A47" t="s">
        <v>144</v>
      </c>
      <c r="B47" t="s">
        <v>432</v>
      </c>
      <c r="C47" t="s">
        <v>220</v>
      </c>
      <c r="D47" t="s">
        <v>433</v>
      </c>
      <c r="E47" t="n">
        <v>1</v>
      </c>
      <c r="F47"/>
      <c r="G47"/>
    </row>
    <row r="48">
      <c r="A48" t="s">
        <v>145</v>
      </c>
      <c r="B48" t="s">
        <v>434</v>
      </c>
      <c r="C48" t="s">
        <v>220</v>
      </c>
      <c r="D48" t="s">
        <v>433</v>
      </c>
      <c r="E48" t="n">
        <v>1</v>
      </c>
      <c r="F48"/>
      <c r="G48"/>
    </row>
    <row r="49">
      <c r="A49" t="s">
        <v>146</v>
      </c>
      <c r="B49" t="s">
        <v>435</v>
      </c>
      <c r="C49" t="s">
        <v>220</v>
      </c>
      <c r="D49" t="s">
        <v>433</v>
      </c>
      <c r="E49" t="n">
        <v>0.25</v>
      </c>
      <c r="F49" t="s">
        <v>436</v>
      </c>
      <c r="G49"/>
    </row>
    <row r="50">
      <c r="A50" t="s">
        <v>146</v>
      </c>
      <c r="B50" t="s">
        <v>435</v>
      </c>
      <c r="C50" t="s">
        <v>161</v>
      </c>
      <c r="D50" t="s">
        <v>437</v>
      </c>
      <c r="E50" t="n">
        <v>0.75</v>
      </c>
      <c r="F50"/>
      <c r="G50"/>
    </row>
    <row r="51">
      <c r="A51" t="s">
        <v>147</v>
      </c>
      <c r="B51" t="s">
        <v>438</v>
      </c>
      <c r="C51" t="s">
        <v>221</v>
      </c>
      <c r="D51" t="s">
        <v>439</v>
      </c>
      <c r="E51" t="n">
        <v>1</v>
      </c>
      <c r="F51"/>
      <c r="G51"/>
    </row>
    <row r="52">
      <c r="A52" t="s">
        <v>148</v>
      </c>
      <c r="B52" t="s">
        <v>440</v>
      </c>
      <c r="C52" t="s">
        <v>222</v>
      </c>
      <c r="D52" t="s">
        <v>441</v>
      </c>
      <c r="E52" t="n">
        <v>1</v>
      </c>
      <c r="F52"/>
      <c r="G52"/>
    </row>
    <row r="53">
      <c r="A53" t="s">
        <v>149</v>
      </c>
      <c r="B53" t="s">
        <v>442</v>
      </c>
      <c r="C53" t="s">
        <v>222</v>
      </c>
      <c r="D53" t="s">
        <v>441</v>
      </c>
      <c r="E53" t="n">
        <v>1</v>
      </c>
      <c r="F53"/>
      <c r="G53"/>
    </row>
    <row r="54">
      <c r="A54" t="s">
        <v>150</v>
      </c>
      <c r="B54" t="s">
        <v>443</v>
      </c>
      <c r="C54" t="s">
        <v>222</v>
      </c>
      <c r="D54" t="s">
        <v>441</v>
      </c>
      <c r="E54" t="n">
        <v>1</v>
      </c>
      <c r="F54"/>
      <c r="G54"/>
    </row>
    <row r="55">
      <c r="A55" t="s">
        <v>151</v>
      </c>
      <c r="B55" t="s">
        <v>444</v>
      </c>
      <c r="C55" t="s">
        <v>222</v>
      </c>
      <c r="D55" t="s">
        <v>441</v>
      </c>
      <c r="E55" t="n">
        <v>1</v>
      </c>
      <c r="F55"/>
      <c r="G55"/>
    </row>
    <row r="56">
      <c r="A56" t="s">
        <v>152</v>
      </c>
      <c r="B56" t="s">
        <v>445</v>
      </c>
      <c r="C56" t="s">
        <v>223</v>
      </c>
      <c r="D56" t="s">
        <v>446</v>
      </c>
      <c r="E56" t="n">
        <v>1</v>
      </c>
      <c r="F56"/>
      <c r="G56"/>
    </row>
    <row r="57">
      <c r="A57" t="s">
        <v>153</v>
      </c>
      <c r="B57" t="s">
        <v>447</v>
      </c>
      <c r="C57" t="s">
        <v>223</v>
      </c>
      <c r="D57" t="s">
        <v>446</v>
      </c>
      <c r="E57" t="n">
        <v>1</v>
      </c>
      <c r="F57"/>
      <c r="G57"/>
    </row>
    <row r="58">
      <c r="A58" t="s">
        <v>154</v>
      </c>
      <c r="B58" t="s">
        <v>448</v>
      </c>
      <c r="C58" t="s">
        <v>224</v>
      </c>
      <c r="D58" t="s">
        <v>449</v>
      </c>
      <c r="E58" t="n">
        <v>1</v>
      </c>
      <c r="F58" t="s">
        <v>450</v>
      </c>
      <c r="G58"/>
    </row>
    <row r="59">
      <c r="A59" t="s">
        <v>155</v>
      </c>
      <c r="B59" t="s">
        <v>451</v>
      </c>
      <c r="C59" t="s">
        <v>224</v>
      </c>
      <c r="D59" t="s">
        <v>449</v>
      </c>
      <c r="E59" t="n">
        <v>1</v>
      </c>
      <c r="F59"/>
      <c r="G59"/>
    </row>
    <row r="60">
      <c r="A60" t="s">
        <v>157</v>
      </c>
      <c r="B60" t="s">
        <v>452</v>
      </c>
      <c r="C60" t="s">
        <v>224</v>
      </c>
      <c r="D60" t="s">
        <v>449</v>
      </c>
      <c r="E60" t="n">
        <v>1</v>
      </c>
      <c r="F60"/>
      <c r="G60"/>
    </row>
    <row r="61">
      <c r="A61" t="s">
        <v>156</v>
      </c>
      <c r="B61" t="s">
        <v>453</v>
      </c>
      <c r="C61" t="s">
        <v>221</v>
      </c>
      <c r="D61" t="s">
        <v>439</v>
      </c>
      <c r="E61" t="n">
        <v>1</v>
      </c>
      <c r="F61" t="s">
        <v>454</v>
      </c>
      <c r="G61"/>
    </row>
    <row r="62">
      <c r="A62" t="s">
        <v>158</v>
      </c>
      <c r="B62" t="s">
        <v>455</v>
      </c>
      <c r="C62" t="s">
        <v>224</v>
      </c>
      <c r="D62" t="s">
        <v>449</v>
      </c>
      <c r="E62" t="n">
        <v>1</v>
      </c>
      <c r="F62"/>
      <c r="G62"/>
    </row>
    <row r="63">
      <c r="A63" t="s">
        <v>159</v>
      </c>
      <c r="B63" t="s">
        <v>456</v>
      </c>
      <c r="C63" t="s">
        <v>224</v>
      </c>
      <c r="D63" t="s">
        <v>449</v>
      </c>
      <c r="E63" t="n">
        <v>1</v>
      </c>
      <c r="F63"/>
      <c r="G63"/>
    </row>
    <row r="64">
      <c r="A64" t="s">
        <v>160</v>
      </c>
      <c r="B64" t="s">
        <v>457</v>
      </c>
      <c r="C64" t="s">
        <v>215</v>
      </c>
      <c r="D64" t="s">
        <v>458</v>
      </c>
      <c r="E64" t="n">
        <v>1</v>
      </c>
      <c r="F64"/>
      <c r="G64"/>
    </row>
    <row r="65">
      <c r="A65" t="s">
        <v>161</v>
      </c>
      <c r="B65" t="s">
        <v>459</v>
      </c>
      <c r="C65" t="s">
        <v>226</v>
      </c>
      <c r="D65" t="s">
        <v>460</v>
      </c>
      <c r="E65" t="n">
        <v>1</v>
      </c>
      <c r="F65"/>
      <c r="G65"/>
    </row>
    <row r="66">
      <c r="A66" t="s">
        <v>162</v>
      </c>
      <c r="B66" t="s">
        <v>461</v>
      </c>
      <c r="C66" t="s">
        <v>227</v>
      </c>
      <c r="D66" t="s">
        <v>462</v>
      </c>
      <c r="E66" t="n">
        <v>1</v>
      </c>
      <c r="F66"/>
      <c r="G66"/>
    </row>
    <row r="67">
      <c r="A67" t="s">
        <v>163</v>
      </c>
      <c r="B67" t="s">
        <v>463</v>
      </c>
      <c r="C67" t="s">
        <v>227</v>
      </c>
      <c r="D67" t="s">
        <v>462</v>
      </c>
      <c r="E67" t="n">
        <v>1</v>
      </c>
      <c r="F67"/>
      <c r="G67"/>
    </row>
    <row r="68">
      <c r="A68" t="s">
        <v>164</v>
      </c>
      <c r="B68" t="s">
        <v>464</v>
      </c>
      <c r="C68" t="s">
        <v>227</v>
      </c>
      <c r="D68" t="s">
        <v>462</v>
      </c>
      <c r="E68" t="n">
        <v>1</v>
      </c>
      <c r="F68"/>
      <c r="G68"/>
    </row>
    <row r="69">
      <c r="A69" t="s">
        <v>165</v>
      </c>
      <c r="B69" t="s">
        <v>465</v>
      </c>
      <c r="C69" t="s">
        <v>227</v>
      </c>
      <c r="D69" t="s">
        <v>462</v>
      </c>
      <c r="E69" t="n">
        <v>1</v>
      </c>
      <c r="F69"/>
      <c r="G69"/>
    </row>
    <row r="70">
      <c r="A70" t="s">
        <v>166</v>
      </c>
      <c r="B70" t="s">
        <v>466</v>
      </c>
      <c r="C70" t="s">
        <v>228</v>
      </c>
      <c r="D70" t="s">
        <v>467</v>
      </c>
      <c r="E70" t="n">
        <v>1</v>
      </c>
      <c r="F70"/>
      <c r="G70"/>
    </row>
    <row r="71">
      <c r="A71" t="s">
        <v>167</v>
      </c>
      <c r="B71" t="s">
        <v>468</v>
      </c>
      <c r="C71" t="s">
        <v>228</v>
      </c>
      <c r="D71" t="s">
        <v>467</v>
      </c>
      <c r="E71" t="n">
        <v>1</v>
      </c>
      <c r="F71"/>
      <c r="G71"/>
    </row>
    <row r="72">
      <c r="A72" t="s">
        <v>168</v>
      </c>
      <c r="B72" t="s">
        <v>469</v>
      </c>
      <c r="C72" t="s">
        <v>219</v>
      </c>
      <c r="D72" t="s">
        <v>470</v>
      </c>
      <c r="E72" t="n">
        <v>1</v>
      </c>
      <c r="F72"/>
      <c r="G72"/>
    </row>
    <row r="73">
      <c r="A73" t="s">
        <v>169</v>
      </c>
      <c r="B73" t="s">
        <v>471</v>
      </c>
      <c r="C73" t="s">
        <v>219</v>
      </c>
      <c r="D73" t="s">
        <v>470</v>
      </c>
      <c r="E73" t="n">
        <v>1</v>
      </c>
      <c r="F73"/>
      <c r="G73"/>
    </row>
    <row r="74">
      <c r="A74" t="s">
        <v>170</v>
      </c>
      <c r="B74" t="s">
        <v>472</v>
      </c>
      <c r="C74" t="s">
        <v>228</v>
      </c>
      <c r="D74" t="s">
        <v>467</v>
      </c>
      <c r="E74" t="n">
        <v>1</v>
      </c>
      <c r="F74"/>
      <c r="G74"/>
    </row>
    <row r="75">
      <c r="A75" t="s">
        <v>171</v>
      </c>
      <c r="B75" t="s">
        <v>473</v>
      </c>
      <c r="C75" t="s">
        <v>225</v>
      </c>
      <c r="D75" t="s">
        <v>474</v>
      </c>
      <c r="E75" t="n">
        <v>1</v>
      </c>
      <c r="F75"/>
      <c r="G75"/>
    </row>
    <row r="76">
      <c r="A76" t="s">
        <v>172</v>
      </c>
      <c r="B76" t="s">
        <v>475</v>
      </c>
      <c r="C76" t="s">
        <v>225</v>
      </c>
      <c r="D76" t="s">
        <v>474</v>
      </c>
      <c r="E76" t="n">
        <v>1</v>
      </c>
      <c r="F76"/>
      <c r="G76"/>
    </row>
    <row r="77">
      <c r="A77" t="s">
        <v>173</v>
      </c>
      <c r="B77" t="s">
        <v>476</v>
      </c>
      <c r="C77" t="s">
        <v>225</v>
      </c>
      <c r="D77" t="s">
        <v>474</v>
      </c>
      <c r="E77" t="n">
        <v>1</v>
      </c>
      <c r="F77"/>
      <c r="G77"/>
    </row>
    <row r="78">
      <c r="A78" t="s">
        <v>174</v>
      </c>
      <c r="B78" t="s">
        <v>477</v>
      </c>
      <c r="C78" t="s">
        <v>225</v>
      </c>
      <c r="D78" t="s">
        <v>474</v>
      </c>
      <c r="E78" t="n">
        <v>1</v>
      </c>
      <c r="F78"/>
      <c r="G78"/>
    </row>
    <row r="79">
      <c r="A79" t="s">
        <v>175</v>
      </c>
      <c r="B79" t="s">
        <v>478</v>
      </c>
      <c r="C79" t="s">
        <v>225</v>
      </c>
      <c r="D79" t="s">
        <v>474</v>
      </c>
      <c r="E79" t="n">
        <v>1</v>
      </c>
      <c r="F79"/>
      <c r="G79"/>
    </row>
    <row r="80">
      <c r="A80" t="s">
        <v>108</v>
      </c>
      <c r="B80" t="s">
        <v>479</v>
      </c>
      <c r="C80" t="s">
        <v>191</v>
      </c>
      <c r="D80" t="s">
        <v>480</v>
      </c>
      <c r="E80" t="n">
        <v>0.243574035842824</v>
      </c>
      <c r="F80"/>
      <c r="G80" t="s">
        <v>481</v>
      </c>
    </row>
    <row r="81">
      <c r="A81" t="s">
        <v>108</v>
      </c>
      <c r="B81" t="s">
        <v>479</v>
      </c>
      <c r="C81" t="s">
        <v>193</v>
      </c>
      <c r="D81" t="s">
        <v>482</v>
      </c>
      <c r="E81" t="n">
        <v>0.756425964157176</v>
      </c>
      <c r="F81"/>
      <c r="G81" t="s">
        <v>481</v>
      </c>
    </row>
    <row r="82">
      <c r="A82" t="s">
        <v>113</v>
      </c>
      <c r="B82" t="s">
        <v>483</v>
      </c>
      <c r="C82" t="s">
        <v>202</v>
      </c>
      <c r="D82" t="s">
        <v>484</v>
      </c>
      <c r="E82" t="n">
        <v>0.25</v>
      </c>
      <c r="F82"/>
      <c r="G82" t="s">
        <v>485</v>
      </c>
    </row>
    <row r="83">
      <c r="A83" t="s">
        <v>113</v>
      </c>
      <c r="B83" t="s">
        <v>483</v>
      </c>
      <c r="C83" t="s">
        <v>203</v>
      </c>
      <c r="D83" t="s">
        <v>486</v>
      </c>
      <c r="E83" t="n">
        <v>0.75</v>
      </c>
      <c r="F83"/>
      <c r="G83" t="s">
        <v>485</v>
      </c>
    </row>
    <row r="84">
      <c r="A84" t="s">
        <v>114</v>
      </c>
      <c r="B84" t="s">
        <v>487</v>
      </c>
      <c r="C84" t="s">
        <v>204</v>
      </c>
      <c r="D84" t="s">
        <v>397</v>
      </c>
      <c r="E84" t="n">
        <v>0.75</v>
      </c>
      <c r="F84"/>
      <c r="G84" t="s">
        <v>488</v>
      </c>
    </row>
    <row r="85">
      <c r="A85" t="s">
        <v>114</v>
      </c>
      <c r="B85" t="s">
        <v>487</v>
      </c>
      <c r="C85" t="s">
        <v>205</v>
      </c>
      <c r="D85" t="s">
        <v>489</v>
      </c>
      <c r="E85" t="n">
        <v>0.25</v>
      </c>
      <c r="F85"/>
      <c r="G85" t="s">
        <v>488</v>
      </c>
    </row>
    <row r="86">
      <c r="A86" t="s">
        <v>129</v>
      </c>
      <c r="B86" t="s">
        <v>490</v>
      </c>
      <c r="C86" t="s">
        <v>200</v>
      </c>
      <c r="D86" t="s">
        <v>491</v>
      </c>
      <c r="E86" t="n">
        <v>0.9</v>
      </c>
      <c r="F86"/>
      <c r="G86" t="s">
        <v>492</v>
      </c>
    </row>
    <row r="87">
      <c r="A87" t="s">
        <v>129</v>
      </c>
      <c r="B87" t="s">
        <v>490</v>
      </c>
      <c r="C87" t="s">
        <v>201</v>
      </c>
      <c r="D87" t="s">
        <v>493</v>
      </c>
      <c r="E87" t="n">
        <v>0.1</v>
      </c>
      <c r="F87"/>
      <c r="G87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494</v>
      </c>
    </row>
    <row r="2">
      <c r="A2" t="s">
        <v>1</v>
      </c>
    </row>
    <row r="3">
      <c r="A3" t="s">
        <v>495</v>
      </c>
    </row>
    <row r="4">
      <c r="A4" t="s">
        <v>496</v>
      </c>
    </row>
    <row r="5">
      <c r="A5" t="s">
        <v>497</v>
      </c>
    </row>
    <row r="6">
      <c r="A6" t="s">
        <v>498</v>
      </c>
    </row>
    <row r="7">
      <c r="A7" t="s">
        <v>499</v>
      </c>
    </row>
    <row r="8">
      <c r="A8" t="s">
        <v>500</v>
      </c>
    </row>
    <row r="9">
      <c r="A9" t="s">
        <v>1</v>
      </c>
    </row>
    <row r="11">
      <c r="A11" t="s">
        <v>363</v>
      </c>
      <c r="B11" t="s">
        <v>188</v>
      </c>
      <c r="C11" t="s">
        <v>366</v>
      </c>
      <c r="D11" t="s">
        <v>368</v>
      </c>
    </row>
    <row r="12">
      <c r="A12" t="n">
        <v>212</v>
      </c>
      <c r="B12" t="s">
        <v>191</v>
      </c>
      <c r="C12" t="n">
        <v>0.243574035842824</v>
      </c>
      <c r="D12" t="s">
        <v>481</v>
      </c>
    </row>
    <row r="13">
      <c r="A13" t="n">
        <v>212</v>
      </c>
      <c r="B13" t="s">
        <v>193</v>
      </c>
      <c r="C13" t="n">
        <v>0.756425964157176</v>
      </c>
      <c r="D13" t="s">
        <v>481</v>
      </c>
    </row>
    <row r="14">
      <c r="A14" t="n">
        <v>327</v>
      </c>
      <c r="B14" t="s">
        <v>202</v>
      </c>
      <c r="C14" t="n">
        <v>0.25</v>
      </c>
      <c r="D14" t="s">
        <v>485</v>
      </c>
    </row>
    <row r="15">
      <c r="A15" t="n">
        <v>327</v>
      </c>
      <c r="B15" t="s">
        <v>203</v>
      </c>
      <c r="C15" t="n">
        <v>0.75</v>
      </c>
      <c r="D15" t="s">
        <v>485</v>
      </c>
    </row>
    <row r="16">
      <c r="A16" t="n">
        <v>331</v>
      </c>
      <c r="B16" t="s">
        <v>204</v>
      </c>
      <c r="C16" t="n">
        <v>0.75</v>
      </c>
      <c r="D16" t="s">
        <v>488</v>
      </c>
    </row>
    <row r="17">
      <c r="A17" t="n">
        <v>331</v>
      </c>
      <c r="B17" t="s">
        <v>205</v>
      </c>
      <c r="C17" t="n">
        <v>0.25</v>
      </c>
      <c r="D17" t="s">
        <v>488</v>
      </c>
    </row>
    <row r="18">
      <c r="A18" t="n">
        <v>325</v>
      </c>
      <c r="B18" t="s">
        <v>200</v>
      </c>
      <c r="C18" t="n">
        <v>0.9</v>
      </c>
      <c r="D18" t="s">
        <v>492</v>
      </c>
    </row>
    <row r="19">
      <c r="A19" t="n">
        <v>325</v>
      </c>
      <c r="B19" t="s">
        <v>201</v>
      </c>
      <c r="C19" t="n">
        <v>0.1</v>
      </c>
      <c r="D19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501</v>
      </c>
    </row>
    <row r="2">
      <c r="A2" t="s">
        <v>502</v>
      </c>
    </row>
    <row r="3">
      <c r="A3" t="s">
        <v>503</v>
      </c>
    </row>
    <row r="4">
      <c r="A4" t="s">
        <v>504</v>
      </c>
    </row>
    <row r="5">
      <c r="A5" t="s">
        <v>1</v>
      </c>
    </row>
    <row r="7">
      <c r="A7" t="s">
        <v>505</v>
      </c>
      <c r="B7" t="s">
        <v>506</v>
      </c>
      <c r="C7" t="s">
        <v>507</v>
      </c>
    </row>
    <row r="8">
      <c r="A8" t="s">
        <v>190</v>
      </c>
      <c r="B8" t="s">
        <v>508</v>
      </c>
      <c r="C8" t="s">
        <v>509</v>
      </c>
    </row>
    <row r="9">
      <c r="A9" t="s">
        <v>191</v>
      </c>
      <c r="B9" t="s">
        <v>480</v>
      </c>
      <c r="C9" t="s">
        <v>510</v>
      </c>
    </row>
    <row r="10">
      <c r="A10" t="s">
        <v>192</v>
      </c>
      <c r="B10" t="s">
        <v>373</v>
      </c>
      <c r="C10" t="s">
        <v>511</v>
      </c>
    </row>
    <row r="11">
      <c r="A11" t="s">
        <v>193</v>
      </c>
      <c r="B11" t="s">
        <v>512</v>
      </c>
      <c r="C11" t="s">
        <v>513</v>
      </c>
    </row>
    <row r="12">
      <c r="A12" t="s">
        <v>194</v>
      </c>
      <c r="B12" t="s">
        <v>375</v>
      </c>
      <c r="C12" t="s">
        <v>514</v>
      </c>
    </row>
    <row r="13">
      <c r="A13" t="s">
        <v>195</v>
      </c>
      <c r="B13" t="s">
        <v>515</v>
      </c>
      <c r="C13" t="s">
        <v>516</v>
      </c>
    </row>
    <row r="14">
      <c r="A14" t="s">
        <v>196</v>
      </c>
      <c r="B14" t="s">
        <v>517</v>
      </c>
      <c r="C14" t="s">
        <v>518</v>
      </c>
    </row>
    <row r="15">
      <c r="A15" t="s">
        <v>197</v>
      </c>
      <c r="B15" t="s">
        <v>519</v>
      </c>
      <c r="C15" t="s">
        <v>520</v>
      </c>
    </row>
    <row r="16">
      <c r="A16" t="s">
        <v>198</v>
      </c>
      <c r="B16" t="s">
        <v>392</v>
      </c>
      <c r="C16" t="s">
        <v>521</v>
      </c>
    </row>
    <row r="17">
      <c r="A17" t="s">
        <v>199</v>
      </c>
      <c r="B17" t="s">
        <v>395</v>
      </c>
      <c r="C17" t="s">
        <v>522</v>
      </c>
    </row>
    <row r="18">
      <c r="A18" t="s">
        <v>200</v>
      </c>
      <c r="B18" t="s">
        <v>523</v>
      </c>
      <c r="C18" t="s">
        <v>524</v>
      </c>
    </row>
    <row r="19">
      <c r="A19" t="s">
        <v>201</v>
      </c>
      <c r="B19" t="s">
        <v>525</v>
      </c>
      <c r="C19" t="s">
        <v>526</v>
      </c>
    </row>
    <row r="20">
      <c r="A20" t="s">
        <v>110</v>
      </c>
      <c r="B20" t="s">
        <v>400</v>
      </c>
      <c r="C20" t="s">
        <v>527</v>
      </c>
    </row>
    <row r="21">
      <c r="A21" t="s">
        <v>202</v>
      </c>
      <c r="B21" t="s">
        <v>528</v>
      </c>
      <c r="C21" t="s">
        <v>529</v>
      </c>
    </row>
    <row r="22">
      <c r="A22" t="s">
        <v>203</v>
      </c>
      <c r="B22" t="s">
        <v>530</v>
      </c>
      <c r="C22" t="s">
        <v>531</v>
      </c>
    </row>
    <row r="23">
      <c r="A23" t="s">
        <v>204</v>
      </c>
      <c r="B23" t="s">
        <v>532</v>
      </c>
      <c r="C23" t="s">
        <v>533</v>
      </c>
    </row>
    <row r="24">
      <c r="A24" t="s">
        <v>205</v>
      </c>
      <c r="B24" t="s">
        <v>534</v>
      </c>
      <c r="C24" t="s">
        <v>535</v>
      </c>
    </row>
    <row r="25">
      <c r="A25" t="s">
        <v>206</v>
      </c>
      <c r="B25" t="s">
        <v>536</v>
      </c>
      <c r="C25" t="s">
        <v>537</v>
      </c>
    </row>
    <row r="26">
      <c r="A26" t="s">
        <v>207</v>
      </c>
      <c r="B26" t="s">
        <v>405</v>
      </c>
      <c r="C26" t="s">
        <v>538</v>
      </c>
    </row>
    <row r="27">
      <c r="A27" t="s">
        <v>208</v>
      </c>
      <c r="B27" t="s">
        <v>407</v>
      </c>
      <c r="C27" t="s">
        <v>539</v>
      </c>
    </row>
    <row r="28">
      <c r="A28" t="s">
        <v>209</v>
      </c>
      <c r="B28" t="s">
        <v>403</v>
      </c>
      <c r="C28" t="s">
        <v>540</v>
      </c>
    </row>
    <row r="29">
      <c r="A29" t="s">
        <v>210</v>
      </c>
      <c r="B29" t="s">
        <v>541</v>
      </c>
      <c r="C29" t="s">
        <v>542</v>
      </c>
    </row>
    <row r="30">
      <c r="A30" t="s">
        <v>211</v>
      </c>
      <c r="B30" t="s">
        <v>411</v>
      </c>
      <c r="C30" t="s">
        <v>543</v>
      </c>
    </row>
    <row r="31">
      <c r="A31" t="s">
        <v>212</v>
      </c>
      <c r="B31" t="s">
        <v>544</v>
      </c>
      <c r="C31" t="s">
        <v>545</v>
      </c>
    </row>
    <row r="32">
      <c r="A32" t="s">
        <v>213</v>
      </c>
      <c r="B32" t="s">
        <v>546</v>
      </c>
      <c r="C32" t="s">
        <v>547</v>
      </c>
    </row>
    <row r="33">
      <c r="A33" t="s">
        <v>214</v>
      </c>
      <c r="B33" t="s">
        <v>548</v>
      </c>
      <c r="C33" t="s">
        <v>549</v>
      </c>
    </row>
    <row r="34">
      <c r="A34" t="s">
        <v>215</v>
      </c>
      <c r="B34" t="s">
        <v>550</v>
      </c>
      <c r="C34" t="s">
        <v>551</v>
      </c>
    </row>
    <row r="35">
      <c r="A35" t="s">
        <v>216</v>
      </c>
      <c r="B35" t="s">
        <v>383</v>
      </c>
      <c r="C35" t="s">
        <v>552</v>
      </c>
    </row>
    <row r="36">
      <c r="A36" t="s">
        <v>217</v>
      </c>
      <c r="B36" t="s">
        <v>553</v>
      </c>
      <c r="C36" t="s">
        <v>554</v>
      </c>
    </row>
    <row r="37">
      <c r="A37" t="s">
        <v>218</v>
      </c>
      <c r="B37" t="s">
        <v>422</v>
      </c>
      <c r="C37" t="s">
        <v>555</v>
      </c>
    </row>
    <row r="38">
      <c r="A38" t="s">
        <v>219</v>
      </c>
      <c r="B38" t="s">
        <v>556</v>
      </c>
      <c r="C38" t="s">
        <v>557</v>
      </c>
    </row>
    <row r="39">
      <c r="A39" t="s">
        <v>220</v>
      </c>
      <c r="B39" t="s">
        <v>558</v>
      </c>
      <c r="C39" t="s">
        <v>559</v>
      </c>
    </row>
    <row r="40">
      <c r="A40" t="s">
        <v>161</v>
      </c>
      <c r="B40" t="s">
        <v>437</v>
      </c>
      <c r="C40" t="s">
        <v>560</v>
      </c>
    </row>
    <row r="41">
      <c r="A41" t="s">
        <v>221</v>
      </c>
      <c r="B41" t="s">
        <v>439</v>
      </c>
      <c r="C41" t="s">
        <v>561</v>
      </c>
    </row>
    <row r="42">
      <c r="A42" t="s">
        <v>222</v>
      </c>
      <c r="B42" t="s">
        <v>562</v>
      </c>
      <c r="C42" t="s">
        <v>563</v>
      </c>
    </row>
    <row r="43">
      <c r="A43" t="s">
        <v>223</v>
      </c>
      <c r="B43" t="s">
        <v>446</v>
      </c>
      <c r="C43" t="s">
        <v>564</v>
      </c>
    </row>
    <row r="44">
      <c r="A44" t="s">
        <v>224</v>
      </c>
      <c r="B44" t="s">
        <v>565</v>
      </c>
      <c r="C44" t="s">
        <v>566</v>
      </c>
    </row>
    <row r="45">
      <c r="A45" t="s">
        <v>225</v>
      </c>
      <c r="B45" t="s">
        <v>567</v>
      </c>
      <c r="C45" t="s">
        <v>568</v>
      </c>
    </row>
    <row r="46">
      <c r="A46" t="s">
        <v>226</v>
      </c>
      <c r="B46" t="s">
        <v>460</v>
      </c>
      <c r="C46" t="s">
        <v>569</v>
      </c>
    </row>
    <row r="47">
      <c r="A47" t="s">
        <v>227</v>
      </c>
      <c r="B47" t="s">
        <v>570</v>
      </c>
      <c r="C47" t="s">
        <v>571</v>
      </c>
    </row>
    <row r="48">
      <c r="A48" t="s">
        <v>228</v>
      </c>
      <c r="B48" t="s">
        <v>572</v>
      </c>
      <c r="C48" t="s">
        <v>573</v>
      </c>
    </row>
    <row r="49">
      <c r="A49" t="s">
        <v>229</v>
      </c>
      <c r="B49" t="s">
        <v>574</v>
      </c>
      <c r="C49" t="s">
        <v>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IFERROR(INDEX('1_Gov_purchases_by_BEA'!$B$2:$B$74, MATCH($A3, '1_Gov_purchases_by_BEA'!$A$2:$A$74,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IFERROR(INDEX('1_Gov_purchases_by_BEA'!$B$2:$B$74, MATCH($A4, '1_Gov_purchases_by_BEA'!$A$2:$A$74,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IFERROR(INDEX('1_Gov_purchases_by_BEA'!$B$2:$B$74, MATCH($A5, '1_Gov_purchases_by_BEA'!$A$2:$A$74,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IFERROR(INDEX('1_Gov_purchases_by_BEA'!$B$2:$B$74, MATCH($A6, '1_Gov_purchases_by_BEA'!$A$2:$A$74,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IFERROR(INDEX('1_Gov_purchases_by_BEA'!$B$2:$B$74, MATCH($A7, '1_Gov_purchases_by_BEA'!$A$2:$A$74,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IFERROR(INDEX('1_Gov_purchases_by_BEA'!$B$2:$B$74, MATCH($A8, '1_Gov_purchases_by_BEA'!$A$2:$A$74,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IFERROR(INDEX('1_Gov_purchases_by_BEA'!$B$2:$B$74, MATCH($A9, '1_Gov_purchases_by_BEA'!$A$2:$A$74,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IFERROR(INDEX('1_Gov_purchases_by_BEA'!$B$2:$B$74, MATCH($A10, '1_Gov_purchases_by_BEA'!$A$2:$A$74,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IFERROR(INDEX('1_Gov_purchases_by_BEA'!$B$2:$B$74, MATCH($A11, '1_Gov_purchases_by_BEA'!$A$2:$A$74,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IFERROR(INDEX('1_Gov_purchases_by_BEA'!$B$2:$B$74, MATCH($A12, '1_Gov_purchases_by_BEA'!$A$2:$A$74,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IFERROR(INDEX('1_Gov_purchases_by_BEA'!$B$2:$B$74, MATCH($A13, '1_Gov_purchases_by_BEA'!$A$2:$A$74,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IFERROR(INDEX('1_Gov_purchases_by_BEA'!$B$2:$B$74, MATCH($A14, '1_Gov_purchases_by_BEA'!$A$2:$A$74,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IFERROR(INDEX('1_Gov_purchases_by_BEA'!$B$2:$B$74, MATCH($A15, '1_Gov_purchases_by_BEA'!$A$2:$A$74,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IFERROR(INDEX('1_Gov_purchases_by_BEA'!$B$2:$B$74, MATCH($A16, '1_Gov_purchases_by_BEA'!$A$2:$A$74,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IFERROR(INDEX('1_Gov_purchases_by_BEA'!$B$2:$B$74, MATCH($A17, '1_Gov_purchases_by_BEA'!$A$2:$A$74,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IFERROR(INDEX('1_Gov_purchases_by_BEA'!$B$2:$B$74, MATCH($A18, '1_Gov_purchases_by_BEA'!$A$2:$A$74,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IFERROR(INDEX('1_Gov_purchases_by_BEA'!$B$2:$B$74, MATCH($A19, '1_Gov_purchases_by_BEA'!$A$2:$A$74,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IFERROR(INDEX('1_Gov_purchases_by_BEA'!$B$2:$B$74, MATCH($A20, '1_Gov_purchases_by_BEA'!$A$2:$A$74,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IFERROR(INDEX('1_Gov_purchases_by_BEA'!$B$2:$B$74, MATCH($A21, '1_Gov_purchases_by_BEA'!$A$2:$A$74,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IFERROR(INDEX('1_Gov_purchases_by_BEA'!$B$2:$B$74, MATCH($A22, '1_Gov_purchases_by_BEA'!$A$2:$A$74,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IFERROR(INDEX('1_Gov_purchases_by_BEA'!$B$2:$B$74, MATCH($A23, '1_Gov_purchases_by_BEA'!$A$2:$A$74,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IFERROR(INDEX('1_Gov_purchases_by_BEA'!$B$2:$B$74, MATCH($A24, '1_Gov_purchases_by_BEA'!$A$2:$A$74,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IFERROR(INDEX('1_Gov_purchases_by_BEA'!$B$2:$B$74, MATCH($A25, '1_Gov_purchases_by_BEA'!$A$2:$A$74,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IFERROR(INDEX('1_Gov_purchases_by_BEA'!$B$2:$B$74, MATCH($A26, '1_Gov_purchases_by_BEA'!$A$2:$A$74,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IFERROR(INDEX('1_Gov_purchases_by_BEA'!$B$2:$B$74, MATCH($A27, '1_Gov_purchases_by_BEA'!$A$2:$A$74,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IFERROR(INDEX('1_Gov_purchases_by_BEA'!$B$2:$B$74, MATCH($A28, '1_Gov_purchases_by_BEA'!$A$2:$A$74,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IFERROR(INDEX('1_Gov_purchases_by_BEA'!$B$2:$B$74, MATCH($A29, '1_Gov_purchases_by_BEA'!$A$2:$A$74,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IFERROR(INDEX('1_Gov_purchases_by_BEA'!$B$2:$B$74, MATCH($A30, '1_Gov_purchases_by_BEA'!$A$2:$A$74,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IFERROR(INDEX('1_Gov_purchases_by_BEA'!$B$2:$B$74, MATCH($A31, '1_Gov_purchases_by_BEA'!$A$2:$A$74,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IFERROR(INDEX('1_Gov_purchases_by_BEA'!$B$2:$B$74, MATCH($A32, '1_Gov_purchases_by_BEA'!$A$2:$A$74,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IFERROR(INDEX('1_Gov_purchases_by_BEA'!$B$2:$B$74, MATCH($A33, '1_Gov_purchases_by_BEA'!$A$2:$A$74,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IFERROR(INDEX('1_Gov_purchases_by_BEA'!$B$2:$B$74, MATCH($A34, '1_Gov_purchases_by_BEA'!$A$2:$A$74,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IFERROR(INDEX('1_Gov_purchases_by_BEA'!$B$2:$B$74, MATCH($A35, '1_Gov_purchases_by_BEA'!$A$2:$A$74,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IFERROR(INDEX('1_Gov_purchases_by_BEA'!$B$2:$B$74, MATCH($A36, '1_Gov_purchases_by_BEA'!$A$2:$A$74,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IFERROR(INDEX('1_Gov_purchases_by_BEA'!$B$2:$B$74, MATCH($A37, '1_Gov_purchases_by_BEA'!$A$2:$A$74,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IFERROR(INDEX('1_Gov_purchases_by_BEA'!$B$2:$B$74, MATCH($A38, '1_Gov_purchases_by_BEA'!$A$2:$A$74,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IFERROR(INDEX('1_Gov_purchases_by_BEA'!$B$2:$B$74, MATCH($A39, '1_Gov_purchases_by_BEA'!$A$2:$A$74,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IFERROR(INDEX('1_Gov_purchases_by_BEA'!$B$2:$B$74, MATCH($A40, '1_Gov_purchases_by_BEA'!$A$2:$A$74,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IFERROR(INDEX('1_Gov_purchases_by_BEA'!$B$2:$B$74, MATCH($A41, '1_Gov_purchases_by_BEA'!$A$2:$A$74,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IFERROR(INDEX('1_Gov_purchases_by_BEA'!$B$2:$B$74, MATCH($A42, '1_Gov_purchases_by_BEA'!$A$2:$A$74,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IFERROR(INDEX('1_Gov_purchases_by_BEA'!$B$2:$B$74, MATCH($A43, '1_Gov_purchases_by_BEA'!$A$2:$A$74,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IFERROR(INDEX('1_Gov_purchases_by_BEA'!$B$2:$B$74, MATCH($A44, '1_Gov_purchases_by_BEA'!$A$2:$A$74,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IFERROR(INDEX('1_Gov_purchases_by_BEA'!$B$2:$B$74, MATCH($A45, '1_Gov_purchases_by_BEA'!$A$2:$A$74,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IFERROR(INDEX('1_Gov_purchases_by_BEA'!$B$2:$B$74, MATCH($A46, '1_Gov_purchases_by_BEA'!$A$2:$A$74,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IFERROR(INDEX('1_Gov_purchases_by_BEA'!$B$2:$B$74, MATCH($A47, '1_Gov_purchases_by_BEA'!$A$2:$A$74,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IFERROR(INDEX('1_Gov_purchases_by_BEA'!$B$2:$B$74, MATCH($A48, '1_Gov_purchases_by_BEA'!$A$2:$A$74,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IFERROR(INDEX('1_Gov_purchases_by_BEA'!$B$2:$B$74, MATCH($A49, '1_Gov_purchases_by_BEA'!$A$2:$A$74,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IFERROR(INDEX('1_Gov_purchases_by_BEA'!$B$2:$B$74, MATCH($A50, '1_Gov_purchases_by_BEA'!$A$2:$A$74,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IFERROR(INDEX('1_Gov_purchases_by_BEA'!$B$2:$B$74, MATCH($A51, '1_Gov_purchases_by_BEA'!$A$2:$A$74,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IFERROR(INDEX('1_Gov_purchases_by_BEA'!$B$2:$B$74, MATCH($A52, '1_Gov_purchases_by_BEA'!$A$2:$A$74,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IFERROR(INDEX('1_Gov_purchases_by_BEA'!$B$2:$B$74, MATCH($A53, '1_Gov_purchases_by_BEA'!$A$2:$A$74,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IFERROR(INDEX('1_Gov_purchases_by_BEA'!$B$2:$B$74, MATCH($A54, '1_Gov_purchases_by_BEA'!$A$2:$A$74,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IFERROR(INDEX('1_Gov_purchases_by_BEA'!$B$2:$B$74, MATCH($A55, '1_Gov_purchases_by_BEA'!$A$2:$A$74,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IFERROR(INDEX('1_Gov_purchases_by_BEA'!$B$2:$B$74, MATCH($A56, '1_Gov_purchases_by_BEA'!$A$2:$A$74,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IFERROR(INDEX('1_Gov_purchases_by_BEA'!$B$2:$B$74, MATCH($A57, '1_Gov_purchases_by_BEA'!$A$2:$A$74,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IFERROR(INDEX('1_Gov_purchases_by_BEA'!$B$2:$B$74, MATCH($A58, '1_Gov_purchases_by_BEA'!$A$2:$A$74,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IFERROR(INDEX('1_Gov_purchases_by_BEA'!$B$2:$B$74, MATCH($A59, '1_Gov_purchases_by_BEA'!$A$2:$A$74,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IFERROR(INDEX('1_Gov_purchases_by_BEA'!$B$2:$B$74, MATCH($A60, '1_Gov_purchases_by_BEA'!$A$2:$A$74,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IFERROR(INDEX('1_Gov_purchases_by_BEA'!$B$2:$B$74, MATCH($A61, '1_Gov_purchases_by_BEA'!$A$2:$A$74,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IFERROR(INDEX('1_Gov_purchases_by_BEA'!$B$2:$B$74, MATCH($A62, '1_Gov_purchases_by_BEA'!$A$2:$A$74,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IFERROR(INDEX('1_Gov_purchases_by_BEA'!$B$2:$B$74, MATCH($A63, '1_Gov_purchases_by_BEA'!$A$2:$A$74,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IFERROR(INDEX('1_Gov_purchases_by_BEA'!$B$2:$B$74, MATCH($A64, '1_Gov_purchases_by_BEA'!$A$2:$A$74,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IFERROR(INDEX('1_Gov_purchases_by_BEA'!$B$2:$B$74, MATCH($A65, '1_Gov_purchases_by_BEA'!$A$2:$A$74,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IFERROR(INDEX('1_Gov_purchases_by_BEA'!$B$2:$B$74, MATCH($A66, '1_Gov_purchases_by_BEA'!$A$2:$A$74,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IFERROR(INDEX('1_Gov_purchases_by_BEA'!$B$2:$B$74, MATCH($A67, '1_Gov_purchases_by_BEA'!$A$2:$A$74,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IFERROR(INDEX('1_Gov_purchases_by_BEA'!$B$2:$B$74, MATCH($A68, '1_Gov_purchases_by_BEA'!$A$2:$A$74,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IFERROR(INDEX('1_Gov_purchases_by_BEA'!$B$2:$B$74, MATCH($A69, '1_Gov_purchases_by_BEA'!$A$2:$A$74,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IFERROR(INDEX('1_Gov_purchases_by_BEA'!$B$2:$B$74, MATCH($A70, '1_Gov_purchases_by_BEA'!$A$2:$A$74,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IFERROR(INDEX('1_Gov_purchases_by_BEA'!$B$2:$B$74, MATCH($A71, '1_Gov_purchases_by_BEA'!$A$2:$A$74,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IFERROR(INDEX('1_Gov_purchases_by_BEA'!$B$2:$B$74, MATCH($A72, '1_Gov_purchases_by_BEA'!$A$2:$A$74,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IFERROR(INDEX('1_Gov_purchases_by_BEA'!$B$2:$B$74, MATCH($A73, '1_Gov_purchases_by_BEA'!$A$2:$A$74,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IFERROR(INDEX('1_Gov_purchases_by_BEA'!$B$2:$B$74, MATCH($A74, '1_Gov_purchases_by_BEA'!$A$2:$A$74,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IFERROR(INDEX('1_Gov_purchases_by_BEA'!$B$2:$B$74, MATCH($A75, '1_Gov_purchases_by_BEA'!$A$2:$A$74,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IFERROR(INDEX('1_Gov_purchases_by_BEA'!$B$2:$B$74, MATCH($A76, '1_Gov_purchases_by_BEA'!$A$2:$A$74,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IFERROR(INDEX('1_Gov_purchases_by_BEA'!$B$2:$B$74, MATCH($A77, '1_Gov_purchases_by_BEA'!$A$2:$A$74,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IFERROR(INDEX('1_Gov_purchases_by_BEA'!$B$2:$B$74, MATCH($A78, '1_Gov_purchases_by_BEA'!$A$2:$A$74,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IFERROR(INDEX('1_Gov_purchases_by_BEA'!$B$2:$B$74, MATCH($A79, '1_Gov_purchases_by_BEA'!$A$2:$A$74,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IFERROR(INDEX('1_Gov_purchases_by_BEA'!$B$2:$B$74, MATCH($A80, '1_Gov_purchases_by_BEA'!$A$2:$A$74,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IFERROR(INDEX('1_Gov_purchases_by_BEA'!$B$2:$B$74, MATCH($A81, '1_Gov_purchases_by_BEA'!$A$2:$A$74,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SUMIFS('6_Calc_Gov_ISIC'!$E$3:$E$81, '6_Calc_Gov_ISIC'!$B$3:$B$81, $A85)</f>
      </c>
      <c r="C85" t="str">
        <f>B85</f>
      </c>
    </row>
    <row r="86">
      <c r="A86" t="s">
        <v>191</v>
      </c>
      <c r="B86" t="str">
        <f>SUMIFS('6_Calc_Gov_ISIC'!$E$3:$E$81, '6_Calc_Gov_ISIC'!$B$3:$B$81, $A86)</f>
      </c>
      <c r="C86" t="str">
        <f>B86</f>
      </c>
    </row>
    <row r="87">
      <c r="A87" t="s">
        <v>192</v>
      </c>
      <c r="B87" t="str">
        <f>SUMIFS('6_Calc_Gov_ISIC'!$E$3:$E$81, '6_Calc_Gov_ISIC'!$B$3:$B$81, $A87)</f>
      </c>
      <c r="C87" t="str">
        <f>B87</f>
      </c>
    </row>
    <row r="88">
      <c r="A88" t="s">
        <v>193</v>
      </c>
      <c r="B88" t="str">
        <f>SUMIFS('6_Calc_Gov_ISIC'!$E$3:$E$81, '6_Calc_Gov_ISIC'!$B$3:$B$81, $A88)</f>
      </c>
      <c r="C88" t="str">
        <f>B88</f>
      </c>
    </row>
    <row r="89">
      <c r="A89" t="s">
        <v>195</v>
      </c>
      <c r="B89" t="str">
        <f>SUMIFS('6_Calc_Gov_ISIC'!$E$3:$E$81, '6_Calc_Gov_ISIC'!$B$3:$B$81, $A89)</f>
      </c>
      <c r="C89" t="str">
        <f>B89</f>
      </c>
    </row>
    <row r="90">
      <c r="A90" t="s">
        <v>196</v>
      </c>
      <c r="B90" t="str">
        <f>SUMIFS('6_Calc_Gov_ISIC'!$E$3:$E$81, '6_Calc_Gov_ISIC'!$B$3:$B$81, $A90)</f>
      </c>
      <c r="C90" t="str">
        <f>B90</f>
      </c>
    </row>
    <row r="91">
      <c r="A91" t="s">
        <v>197</v>
      </c>
      <c r="B91" t="str">
        <f>SUMIFS('6_Calc_Gov_ISIC'!$E$3:$E$81, '6_Calc_Gov_ISIC'!$B$3:$B$81, $A91)</f>
      </c>
      <c r="C91" t="str">
        <f>B91</f>
      </c>
    </row>
    <row r="92">
      <c r="A92" t="s">
        <v>198</v>
      </c>
      <c r="B92" t="str">
        <f>SUMIFS('6_Calc_Gov_ISIC'!$E$3:$E$81, '6_Calc_Gov_ISIC'!$B$3:$B$81, $A92)</f>
      </c>
      <c r="C92" t="str">
        <f>B92</f>
      </c>
    </row>
    <row r="93">
      <c r="A93" t="s">
        <v>199</v>
      </c>
      <c r="B93" t="str">
        <f>SUMIFS('6_Calc_Gov_ISIC'!$E$3:$E$81, '6_Calc_Gov_ISIC'!$B$3:$B$81, $A93)</f>
      </c>
      <c r="C93" t="str">
        <f>B93</f>
      </c>
    </row>
    <row r="94">
      <c r="A94" t="s">
        <v>200</v>
      </c>
      <c r="B94" t="str">
        <f>SUMIFS('6_Calc_Gov_ISIC'!$E$3:$E$81, '6_Calc_Gov_ISIC'!$B$3:$B$81, $A94)</f>
      </c>
      <c r="C94" t="str">
        <f>B94</f>
      </c>
    </row>
    <row r="95">
      <c r="A95" t="s">
        <v>110</v>
      </c>
      <c r="B95" t="str">
        <f>SUMIFS('6_Calc_Gov_ISIC'!$E$3:$E$81, '6_Calc_Gov_ISIC'!$B$3:$B$81, $A95)</f>
      </c>
      <c r="C95" t="str">
        <f>B95</f>
      </c>
    </row>
    <row r="96">
      <c r="A96" t="s">
        <v>202</v>
      </c>
      <c r="B96" t="str">
        <f>SUMIFS('6_Calc_Gov_ISIC'!$E$3:$E$81, '6_Calc_Gov_ISIC'!$B$3:$B$81, $A96)</f>
      </c>
      <c r="C96" t="str">
        <f>B96</f>
      </c>
    </row>
    <row r="97">
      <c r="A97" t="s">
        <v>203</v>
      </c>
      <c r="B97" t="str">
        <f>SUMIFS('6_Calc_Gov_ISIC'!$E$3:$E$81, '6_Calc_Gov_ISIC'!$B$3:$B$81, $A97)</f>
      </c>
      <c r="C97" t="str">
        <f>B97</f>
      </c>
    </row>
    <row r="98">
      <c r="A98" t="s">
        <v>204</v>
      </c>
      <c r="B98" t="str">
        <f>SUMIFS('6_Calc_Gov_ISIC'!$E$3:$E$81, '6_Calc_Gov_ISIC'!$B$3:$B$81, $A98)</f>
      </c>
      <c r="C98" t="str">
        <f>B98</f>
      </c>
    </row>
    <row r="99">
      <c r="A99" t="s">
        <v>205</v>
      </c>
      <c r="B99" t="str">
        <f>SUMIFS('6_Calc_Gov_ISIC'!$E$3:$E$81, '6_Calc_Gov_ISIC'!$B$3:$B$81, $A99)</f>
      </c>
      <c r="C99" t="str">
        <f>B99</f>
      </c>
    </row>
    <row r="100">
      <c r="A100" t="s">
        <v>206</v>
      </c>
      <c r="B100" t="str">
        <f>SUMIFS('6_Calc_Gov_ISIC'!$E$3:$E$81, '6_Calc_Gov_ISIC'!$B$3:$B$81, $A100)</f>
      </c>
      <c r="C100" t="str">
        <f>B100</f>
      </c>
    </row>
    <row r="101">
      <c r="A101" t="s">
        <v>207</v>
      </c>
      <c r="B101" t="str">
        <f>SUMIFS('6_Calc_Gov_ISIC'!$E$3:$E$81, '6_Calc_Gov_ISIC'!$B$3:$B$81, $A101)</f>
      </c>
      <c r="C101" t="str">
        <f>B101</f>
      </c>
    </row>
    <row r="102">
      <c r="A102" t="s">
        <v>208</v>
      </c>
      <c r="B102" t="str">
        <f>SUMIFS('6_Calc_Gov_ISIC'!$E$3:$E$81, '6_Calc_Gov_ISIC'!$B$3:$B$81, $A102)</f>
      </c>
      <c r="C102" t="str">
        <f>B102</f>
      </c>
    </row>
    <row r="103">
      <c r="A103" t="s">
        <v>209</v>
      </c>
      <c r="B103" t="str">
        <f>SUMIFS('6_Calc_Gov_ISIC'!$E$3:$E$81, '6_Calc_Gov_ISIC'!$B$3:$B$81, $A103)</f>
      </c>
      <c r="C103" t="str">
        <f>B103</f>
      </c>
    </row>
    <row r="104">
      <c r="A104" t="s">
        <v>210</v>
      </c>
      <c r="B104" t="str">
        <f>SUMIFS('6_Calc_Gov_ISIC'!$E$3:$E$81, '6_Calc_Gov_ISIC'!$B$3:$B$81, $A104)</f>
      </c>
      <c r="C104" t="str">
        <f>B104</f>
      </c>
    </row>
    <row r="105">
      <c r="A105" t="s">
        <v>211</v>
      </c>
      <c r="B105" t="str">
        <f>SUMIFS('6_Calc_Gov_ISIC'!$E$3:$E$81, '6_Calc_Gov_ISIC'!$B$3:$B$81, $A105)</f>
      </c>
      <c r="C105" t="str">
        <f>B105</f>
      </c>
    </row>
    <row r="106">
      <c r="A106" t="s">
        <v>212</v>
      </c>
      <c r="B106" t="str">
        <f>SUMIFS('6_Calc_Gov_ISIC'!$E$3:$E$81, '6_Calc_Gov_ISIC'!$B$3:$B$81, $A106)</f>
      </c>
      <c r="C106" t="str">
        <f>B106</f>
      </c>
    </row>
    <row r="107">
      <c r="A107" t="s">
        <v>214</v>
      </c>
      <c r="B107" t="str">
        <f>SUMIFS('6_Calc_Gov_ISIC'!$E$3:$E$81, '6_Calc_Gov_ISIC'!$B$3:$B$81, $A107)</f>
      </c>
      <c r="C107" t="str">
        <f>B107</f>
      </c>
    </row>
    <row r="108">
      <c r="A108" t="s">
        <v>215</v>
      </c>
      <c r="B108" t="str">
        <f>SUMIFS('6_Calc_Gov_ISIC'!$E$3:$E$81, '6_Calc_Gov_ISIC'!$B$3:$B$81, $A108)</f>
      </c>
      <c r="C108" t="str">
        <f>B108</f>
      </c>
    </row>
    <row r="109">
      <c r="A109" t="s">
        <v>216</v>
      </c>
      <c r="B109" t="str">
        <f>SUMIFS('6_Calc_Gov_ISIC'!$E$3:$E$81, '6_Calc_Gov_ISIC'!$B$3:$B$81,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IFERROR(INDEX('2_HH_purchases_by_BEA'!$B$2:$B$74, MATCH($A3, '2_HH_purchases_by_BEA'!$A$2:$A$74,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IFERROR(INDEX('2_HH_purchases_by_BEA'!$B$2:$B$74, MATCH($A4, '2_HH_purchases_by_BEA'!$A$2:$A$74,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IFERROR(INDEX('2_HH_purchases_by_BEA'!$B$2:$B$74, MATCH($A5, '2_HH_purchases_by_BEA'!$A$2:$A$74,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IFERROR(INDEX('2_HH_purchases_by_BEA'!$B$2:$B$74, MATCH($A6, '2_HH_purchases_by_BEA'!$A$2:$A$74,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IFERROR(INDEX('2_HH_purchases_by_BEA'!$B$2:$B$74, MATCH($A7, '2_HH_purchases_by_BEA'!$A$2:$A$74,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IFERROR(INDEX('2_HH_purchases_by_BEA'!$B$2:$B$74, MATCH($A8, '2_HH_purchases_by_BEA'!$A$2:$A$74,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IFERROR(INDEX('2_HH_purchases_by_BEA'!$B$2:$B$74, MATCH($A9, '2_HH_purchases_by_BEA'!$A$2:$A$74,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IFERROR(INDEX('2_HH_purchases_by_BEA'!$B$2:$B$74, MATCH($A10, '2_HH_purchases_by_BEA'!$A$2:$A$74,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IFERROR(INDEX('2_HH_purchases_by_BEA'!$B$2:$B$74, MATCH($A11, '2_HH_purchases_by_BEA'!$A$2:$A$74,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IFERROR(INDEX('2_HH_purchases_by_BEA'!$B$2:$B$74, MATCH($A12, '2_HH_purchases_by_BEA'!$A$2:$A$74,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IFERROR(INDEX('2_HH_purchases_by_BEA'!$B$2:$B$74, MATCH($A13, '2_HH_purchases_by_BEA'!$A$2:$A$74,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IFERROR(INDEX('2_HH_purchases_by_BEA'!$B$2:$B$74, MATCH($A14, '2_HH_purchases_by_BEA'!$A$2:$A$74,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IFERROR(INDEX('2_HH_purchases_by_BEA'!$B$2:$B$74, MATCH($A15, '2_HH_purchases_by_BEA'!$A$2:$A$74,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IFERROR(INDEX('2_HH_purchases_by_BEA'!$B$2:$B$74, MATCH($A16, '2_HH_purchases_by_BEA'!$A$2:$A$74,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IFERROR(INDEX('2_HH_purchases_by_BEA'!$B$2:$B$74, MATCH($A17, '2_HH_purchases_by_BEA'!$A$2:$A$74,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IFERROR(INDEX('2_HH_purchases_by_BEA'!$B$2:$B$74, MATCH($A18, '2_HH_purchases_by_BEA'!$A$2:$A$74,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IFERROR(INDEX('2_HH_purchases_by_BEA'!$B$2:$B$74, MATCH($A19, '2_HH_purchases_by_BEA'!$A$2:$A$74,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IFERROR(INDEX('2_HH_purchases_by_BEA'!$B$2:$B$74, MATCH($A20, '2_HH_purchases_by_BEA'!$A$2:$A$74,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IFERROR(INDEX('2_HH_purchases_by_BEA'!$B$2:$B$74, MATCH($A21, '2_HH_purchases_by_BEA'!$A$2:$A$74,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IFERROR(INDEX('2_HH_purchases_by_BEA'!$B$2:$B$74, MATCH($A22, '2_HH_purchases_by_BEA'!$A$2:$A$74,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IFERROR(INDEX('2_HH_purchases_by_BEA'!$B$2:$B$74, MATCH($A23, '2_HH_purchases_by_BEA'!$A$2:$A$74,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IFERROR(INDEX('2_HH_purchases_by_BEA'!$B$2:$B$74, MATCH($A24, '2_HH_purchases_by_BEA'!$A$2:$A$74,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IFERROR(INDEX('2_HH_purchases_by_BEA'!$B$2:$B$74, MATCH($A25, '2_HH_purchases_by_BEA'!$A$2:$A$74,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IFERROR(INDEX('2_HH_purchases_by_BEA'!$B$2:$B$74, MATCH($A26, '2_HH_purchases_by_BEA'!$A$2:$A$74,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IFERROR(INDEX('2_HH_purchases_by_BEA'!$B$2:$B$74, MATCH($A27, '2_HH_purchases_by_BEA'!$A$2:$A$74,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IFERROR(INDEX('2_HH_purchases_by_BEA'!$B$2:$B$74, MATCH($A28, '2_HH_purchases_by_BEA'!$A$2:$A$74,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IFERROR(INDEX('2_HH_purchases_by_BEA'!$B$2:$B$74, MATCH($A29, '2_HH_purchases_by_BEA'!$A$2:$A$74,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IFERROR(INDEX('2_HH_purchases_by_BEA'!$B$2:$B$74, MATCH($A30, '2_HH_purchases_by_BEA'!$A$2:$A$74,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IFERROR(INDEX('2_HH_purchases_by_BEA'!$B$2:$B$74, MATCH($A31, '2_HH_purchases_by_BEA'!$A$2:$A$74,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IFERROR(INDEX('2_HH_purchases_by_BEA'!$B$2:$B$74, MATCH($A32, '2_HH_purchases_by_BEA'!$A$2:$A$74,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IFERROR(INDEX('2_HH_purchases_by_BEA'!$B$2:$B$74, MATCH($A33, '2_HH_purchases_by_BEA'!$A$2:$A$74,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IFERROR(INDEX('2_HH_purchases_by_BEA'!$B$2:$B$74, MATCH($A34, '2_HH_purchases_by_BEA'!$A$2:$A$74,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IFERROR(INDEX('2_HH_purchases_by_BEA'!$B$2:$B$74, MATCH($A35, '2_HH_purchases_by_BEA'!$A$2:$A$74,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IFERROR(INDEX('2_HH_purchases_by_BEA'!$B$2:$B$74, MATCH($A36, '2_HH_purchases_by_BEA'!$A$2:$A$74,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IFERROR(INDEX('2_HH_purchases_by_BEA'!$B$2:$B$74, MATCH($A37, '2_HH_purchases_by_BEA'!$A$2:$A$74,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IFERROR(INDEX('2_HH_purchases_by_BEA'!$B$2:$B$74, MATCH($A38, '2_HH_purchases_by_BEA'!$A$2:$A$74,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IFERROR(INDEX('2_HH_purchases_by_BEA'!$B$2:$B$74, MATCH($A39, '2_HH_purchases_by_BEA'!$A$2:$A$74,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IFERROR(INDEX('2_HH_purchases_by_BEA'!$B$2:$B$74, MATCH($A40, '2_HH_purchases_by_BEA'!$A$2:$A$74,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IFERROR(INDEX('2_HH_purchases_by_BEA'!$B$2:$B$74, MATCH($A41, '2_HH_purchases_by_BEA'!$A$2:$A$74,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IFERROR(INDEX('2_HH_purchases_by_BEA'!$B$2:$B$74, MATCH($A42, '2_HH_purchases_by_BEA'!$A$2:$A$74,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IFERROR(INDEX('2_HH_purchases_by_BEA'!$B$2:$B$74, MATCH($A43, '2_HH_purchases_by_BEA'!$A$2:$A$74,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IFERROR(INDEX('2_HH_purchases_by_BEA'!$B$2:$B$74, MATCH($A44, '2_HH_purchases_by_BEA'!$A$2:$A$74,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IFERROR(INDEX('2_HH_purchases_by_BEA'!$B$2:$B$74, MATCH($A45, '2_HH_purchases_by_BEA'!$A$2:$A$74,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IFERROR(INDEX('2_HH_purchases_by_BEA'!$B$2:$B$74, MATCH($A46, '2_HH_purchases_by_BEA'!$A$2:$A$74,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IFERROR(INDEX('2_HH_purchases_by_BEA'!$B$2:$B$74, MATCH($A47, '2_HH_purchases_by_BEA'!$A$2:$A$74,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IFERROR(INDEX('2_HH_purchases_by_BEA'!$B$2:$B$74, MATCH($A48, '2_HH_purchases_by_BEA'!$A$2:$A$74,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IFERROR(INDEX('2_HH_purchases_by_BEA'!$B$2:$B$74, MATCH($A49, '2_HH_purchases_by_BEA'!$A$2:$A$74,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IFERROR(INDEX('2_HH_purchases_by_BEA'!$B$2:$B$74, MATCH($A50, '2_HH_purchases_by_BEA'!$A$2:$A$74,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IFERROR(INDEX('2_HH_purchases_by_BEA'!$B$2:$B$74, MATCH($A51, '2_HH_purchases_by_BEA'!$A$2:$A$74,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IFERROR(INDEX('2_HH_purchases_by_BEA'!$B$2:$B$74, MATCH($A52, '2_HH_purchases_by_BEA'!$A$2:$A$74,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IFERROR(INDEX('2_HH_purchases_by_BEA'!$B$2:$B$74, MATCH($A53, '2_HH_purchases_by_BEA'!$A$2:$A$74,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IFERROR(INDEX('2_HH_purchases_by_BEA'!$B$2:$B$74, MATCH($A54, '2_HH_purchases_by_BEA'!$A$2:$A$74,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IFERROR(INDEX('2_HH_purchases_by_BEA'!$B$2:$B$74, MATCH($A55, '2_HH_purchases_by_BEA'!$A$2:$A$74,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IFERROR(INDEX('2_HH_purchases_by_BEA'!$B$2:$B$74, MATCH($A56, '2_HH_purchases_by_BEA'!$A$2:$A$74,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IFERROR(INDEX('2_HH_purchases_by_BEA'!$B$2:$B$74, MATCH($A57, '2_HH_purchases_by_BEA'!$A$2:$A$74,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IFERROR(INDEX('2_HH_purchases_by_BEA'!$B$2:$B$74, MATCH($A58, '2_HH_purchases_by_BEA'!$A$2:$A$74,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IFERROR(INDEX('2_HH_purchases_by_BEA'!$B$2:$B$74, MATCH($A59, '2_HH_purchases_by_BEA'!$A$2:$A$74,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IFERROR(INDEX('2_HH_purchases_by_BEA'!$B$2:$B$74, MATCH($A60, '2_HH_purchases_by_BEA'!$A$2:$A$74,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IFERROR(INDEX('2_HH_purchases_by_BEA'!$B$2:$B$74, MATCH($A61, '2_HH_purchases_by_BEA'!$A$2:$A$74,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IFERROR(INDEX('2_HH_purchases_by_BEA'!$B$2:$B$74, MATCH($A62, '2_HH_purchases_by_BEA'!$A$2:$A$74,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IFERROR(INDEX('2_HH_purchases_by_BEA'!$B$2:$B$74, MATCH($A63, '2_HH_purchases_by_BEA'!$A$2:$A$74,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IFERROR(INDEX('2_HH_purchases_by_BEA'!$B$2:$B$74, MATCH($A64, '2_HH_purchases_by_BEA'!$A$2:$A$74,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IFERROR(INDEX('2_HH_purchases_by_BEA'!$B$2:$B$74, MATCH($A65, '2_HH_purchases_by_BEA'!$A$2:$A$74,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IFERROR(INDEX('2_HH_purchases_by_BEA'!$B$2:$B$74, MATCH($A66, '2_HH_purchases_by_BEA'!$A$2:$A$74,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IFERROR(INDEX('2_HH_purchases_by_BEA'!$B$2:$B$74, MATCH($A67, '2_HH_purchases_by_BEA'!$A$2:$A$74,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IFERROR(INDEX('2_HH_purchases_by_BEA'!$B$2:$B$74, MATCH($A68, '2_HH_purchases_by_BEA'!$A$2:$A$74,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IFERROR(INDEX('2_HH_purchases_by_BEA'!$B$2:$B$74, MATCH($A69, '2_HH_purchases_by_BEA'!$A$2:$A$74,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IFERROR(INDEX('2_HH_purchases_by_BEA'!$B$2:$B$74, MATCH($A70, '2_HH_purchases_by_BEA'!$A$2:$A$74,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IFERROR(INDEX('2_HH_purchases_by_BEA'!$B$2:$B$74, MATCH($A71, '2_HH_purchases_by_BEA'!$A$2:$A$74,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IFERROR(INDEX('2_HH_purchases_by_BEA'!$B$2:$B$74, MATCH($A72, '2_HH_purchases_by_BEA'!$A$2:$A$74,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IFERROR(INDEX('2_HH_purchases_by_BEA'!$B$2:$B$74, MATCH($A73, '2_HH_purchases_by_BEA'!$A$2:$A$74,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IFERROR(INDEX('2_HH_purchases_by_BEA'!$B$2:$B$74, MATCH($A74, '2_HH_purchases_by_BEA'!$A$2:$A$74,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IFERROR(INDEX('2_HH_purchases_by_BEA'!$B$2:$B$74, MATCH($A75, '2_HH_purchases_by_BEA'!$A$2:$A$74,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IFERROR(INDEX('2_HH_purchases_by_BEA'!$B$2:$B$74, MATCH($A76, '2_HH_purchases_by_BEA'!$A$2:$A$74,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IFERROR(INDEX('2_HH_purchases_by_BEA'!$B$2:$B$74, MATCH($A77, '2_HH_purchases_by_BEA'!$A$2:$A$74,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IFERROR(INDEX('2_HH_purchases_by_BEA'!$B$2:$B$74, MATCH($A78, '2_HH_purchases_by_BEA'!$A$2:$A$74,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IFERROR(INDEX('2_HH_purchases_by_BEA'!$B$2:$B$74, MATCH($A79, '2_HH_purchases_by_BEA'!$A$2:$A$74,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IFERROR(INDEX('2_HH_purchases_by_BEA'!$B$2:$B$74, MATCH($A80, '2_HH_purchases_by_BEA'!$A$2:$A$74,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IFERROR(INDEX('2_HH_purchases_by_BEA'!$B$2:$B$74, MATCH($A81, '2_HH_purchases_by_BEA'!$A$2:$A$74,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SUMIFS('7_Calc_HH_ISIC'!$E$3:$E$81, '7_Calc_HH_ISIC'!$B$3:$B$81, $A85)</f>
      </c>
      <c r="C85" t="str">
        <f>B85</f>
      </c>
    </row>
    <row r="86">
      <c r="A86" t="s">
        <v>191</v>
      </c>
      <c r="B86" t="str">
        <f>SUMIFS('7_Calc_HH_ISIC'!$E$3:$E$81, '7_Calc_HH_ISIC'!$B$3:$B$81, $A86)</f>
      </c>
      <c r="C86" t="str">
        <f>B86</f>
      </c>
    </row>
    <row r="87">
      <c r="A87" t="s">
        <v>192</v>
      </c>
      <c r="B87" t="str">
        <f>SUMIFS('7_Calc_HH_ISIC'!$E$3:$E$81, '7_Calc_HH_ISIC'!$B$3:$B$81, $A87)</f>
      </c>
      <c r="C87" t="str">
        <f>B87</f>
      </c>
    </row>
    <row r="88">
      <c r="A88" t="s">
        <v>193</v>
      </c>
      <c r="B88" t="str">
        <f>SUMIFS('7_Calc_HH_ISIC'!$E$3:$E$81, '7_Calc_HH_ISIC'!$B$3:$B$81, $A88)</f>
      </c>
      <c r="C88" t="str">
        <f>B88</f>
      </c>
    </row>
    <row r="89">
      <c r="A89" t="s">
        <v>195</v>
      </c>
      <c r="B89" t="str">
        <f>SUMIFS('7_Calc_HH_ISIC'!$E$3:$E$81, '7_Calc_HH_ISIC'!$B$3:$B$81, $A89)</f>
      </c>
      <c r="C89" t="str">
        <f>B89</f>
      </c>
    </row>
    <row r="90">
      <c r="A90" t="s">
        <v>196</v>
      </c>
      <c r="B90" t="str">
        <f>SUMIFS('7_Calc_HH_ISIC'!$E$3:$E$81, '7_Calc_HH_ISIC'!$B$3:$B$81, $A90)</f>
      </c>
      <c r="C90" t="str">
        <f>B90</f>
      </c>
    </row>
    <row r="91">
      <c r="A91" t="s">
        <v>197</v>
      </c>
      <c r="B91" t="str">
        <f>SUMIFS('7_Calc_HH_ISIC'!$E$3:$E$81, '7_Calc_HH_ISIC'!$B$3:$B$81, $A91)</f>
      </c>
      <c r="C91" t="str">
        <f>B91</f>
      </c>
    </row>
    <row r="92">
      <c r="A92" t="s">
        <v>198</v>
      </c>
      <c r="B92" t="str">
        <f>SUMIFS('7_Calc_HH_ISIC'!$E$3:$E$81, '7_Calc_HH_ISIC'!$B$3:$B$81, $A92)</f>
      </c>
      <c r="C92" t="str">
        <f>B92</f>
      </c>
    </row>
    <row r="93">
      <c r="A93" t="s">
        <v>199</v>
      </c>
      <c r="B93" t="str">
        <f>SUMIFS('7_Calc_HH_ISIC'!$E$3:$E$81, '7_Calc_HH_ISIC'!$B$3:$B$81, $A93)</f>
      </c>
      <c r="C93" t="str">
        <f>B93</f>
      </c>
    </row>
    <row r="94">
      <c r="A94" t="s">
        <v>200</v>
      </c>
      <c r="B94" t="str">
        <f>SUMIFS('7_Calc_HH_ISIC'!$E$3:$E$81, '7_Calc_HH_ISIC'!$B$3:$B$81, $A94)</f>
      </c>
      <c r="C94" t="str">
        <f>B94</f>
      </c>
    </row>
    <row r="95">
      <c r="A95" t="s">
        <v>110</v>
      </c>
      <c r="B95" t="str">
        <f>SUMIFS('7_Calc_HH_ISIC'!$E$3:$E$81, '7_Calc_HH_ISIC'!$B$3:$B$81, $A95)</f>
      </c>
      <c r="C95" t="str">
        <f>B95</f>
      </c>
    </row>
    <row r="96">
      <c r="A96" t="s">
        <v>202</v>
      </c>
      <c r="B96" t="str">
        <f>SUMIFS('7_Calc_HH_ISIC'!$E$3:$E$81, '7_Calc_HH_ISIC'!$B$3:$B$81, $A96)</f>
      </c>
      <c r="C96" t="str">
        <f>B96</f>
      </c>
    </row>
    <row r="97">
      <c r="A97" t="s">
        <v>203</v>
      </c>
      <c r="B97" t="str">
        <f>SUMIFS('7_Calc_HH_ISIC'!$E$3:$E$81, '7_Calc_HH_ISIC'!$B$3:$B$81, $A97)</f>
      </c>
      <c r="C97" t="str">
        <f>B97</f>
      </c>
    </row>
    <row r="98">
      <c r="A98" t="s">
        <v>204</v>
      </c>
      <c r="B98" t="str">
        <f>SUMIFS('7_Calc_HH_ISIC'!$E$3:$E$81, '7_Calc_HH_ISIC'!$B$3:$B$81, $A98)</f>
      </c>
      <c r="C98" t="str">
        <f>B98</f>
      </c>
    </row>
    <row r="99">
      <c r="A99" t="s">
        <v>205</v>
      </c>
      <c r="B99" t="str">
        <f>SUMIFS('7_Calc_HH_ISIC'!$E$3:$E$81, '7_Calc_HH_ISIC'!$B$3:$B$81, $A99)</f>
      </c>
      <c r="C99" t="str">
        <f>B99</f>
      </c>
    </row>
    <row r="100">
      <c r="A100" t="s">
        <v>206</v>
      </c>
      <c r="B100" t="str">
        <f>SUMIFS('7_Calc_HH_ISIC'!$E$3:$E$81, '7_Calc_HH_ISIC'!$B$3:$B$81, $A100)</f>
      </c>
      <c r="C100" t="str">
        <f>B100</f>
      </c>
    </row>
    <row r="101">
      <c r="A101" t="s">
        <v>207</v>
      </c>
      <c r="B101" t="str">
        <f>SUMIFS('7_Calc_HH_ISIC'!$E$3:$E$81, '7_Calc_HH_ISIC'!$B$3:$B$81, $A101)</f>
      </c>
      <c r="C101" t="str">
        <f>B101</f>
      </c>
    </row>
    <row r="102">
      <c r="A102" t="s">
        <v>208</v>
      </c>
      <c r="B102" t="str">
        <f>SUMIFS('7_Calc_HH_ISIC'!$E$3:$E$81, '7_Calc_HH_ISIC'!$B$3:$B$81, $A102)</f>
      </c>
      <c r="C102" t="str">
        <f>B102</f>
      </c>
    </row>
    <row r="103">
      <c r="A103" t="s">
        <v>209</v>
      </c>
      <c r="B103" t="str">
        <f>SUMIFS('7_Calc_HH_ISIC'!$E$3:$E$81, '7_Calc_HH_ISIC'!$B$3:$B$81, $A103)</f>
      </c>
      <c r="C103" t="str">
        <f>B103</f>
      </c>
    </row>
    <row r="104">
      <c r="A104" t="s">
        <v>210</v>
      </c>
      <c r="B104" t="str">
        <f>SUMIFS('7_Calc_HH_ISIC'!$E$3:$E$81, '7_Calc_HH_ISIC'!$B$3:$B$81, $A104)</f>
      </c>
      <c r="C104" t="str">
        <f>B104</f>
      </c>
    </row>
    <row r="105">
      <c r="A105" t="s">
        <v>211</v>
      </c>
      <c r="B105" t="str">
        <f>SUMIFS('7_Calc_HH_ISIC'!$E$3:$E$81, '7_Calc_HH_ISIC'!$B$3:$B$81, $A105)</f>
      </c>
      <c r="C105" t="str">
        <f>B105</f>
      </c>
    </row>
    <row r="106">
      <c r="A106" t="s">
        <v>212</v>
      </c>
      <c r="B106" t="str">
        <f>SUMIFS('7_Calc_HH_ISIC'!$E$3:$E$81, '7_Calc_HH_ISIC'!$B$3:$B$81, $A106)</f>
      </c>
      <c r="C106" t="str">
        <f>B106</f>
      </c>
    </row>
    <row r="107">
      <c r="A107" t="s">
        <v>214</v>
      </c>
      <c r="B107" t="str">
        <f>SUMIFS('7_Calc_HH_ISIC'!$E$3:$E$81, '7_Calc_HH_ISIC'!$B$3:$B$81, $A107)</f>
      </c>
      <c r="C107" t="str">
        <f>B107</f>
      </c>
    </row>
    <row r="108">
      <c r="A108" t="s">
        <v>215</v>
      </c>
      <c r="B108" t="str">
        <f>SUMIFS('7_Calc_HH_ISIC'!$E$3:$E$81, '7_Calc_HH_ISIC'!$B$3:$B$81, $A108)</f>
      </c>
      <c r="C108" t="str">
        <f>B108</f>
      </c>
    </row>
    <row r="109">
      <c r="A109" t="s">
        <v>216</v>
      </c>
      <c r="B109" t="str">
        <f>SUMIFS('7_Calc_HH_ISIC'!$E$3:$E$81, '7_Calc_HH_ISIC'!$B$3:$B$81,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IFERROR(INDEX('3_Intl_purchases_by_BEA'!$B$2:$B$74, MATCH($A3, '3_Intl_purchases_by_BEA'!$A$2:$A$74,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IFERROR(INDEX('3_Intl_purchases_by_BEA'!$B$2:$B$74, MATCH($A4, '3_Intl_purchases_by_BEA'!$A$2:$A$74,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IFERROR(INDEX('3_Intl_purchases_by_BEA'!$B$2:$B$74, MATCH($A5, '3_Intl_purchases_by_BEA'!$A$2:$A$74,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IFERROR(INDEX('3_Intl_purchases_by_BEA'!$B$2:$B$74, MATCH($A6, '3_Intl_purchases_by_BEA'!$A$2:$A$74,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IFERROR(INDEX('3_Intl_purchases_by_BEA'!$B$2:$B$74, MATCH($A7, '3_Intl_purchases_by_BEA'!$A$2:$A$74,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IFERROR(INDEX('3_Intl_purchases_by_BEA'!$B$2:$B$74, MATCH($A8, '3_Intl_purchases_by_BEA'!$A$2:$A$74,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IFERROR(INDEX('3_Intl_purchases_by_BEA'!$B$2:$B$74, MATCH($A9, '3_Intl_purchases_by_BEA'!$A$2:$A$74,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IFERROR(INDEX('3_Intl_purchases_by_BEA'!$B$2:$B$74, MATCH($A10, '3_Intl_purchases_by_BEA'!$A$2:$A$74,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IFERROR(INDEX('3_Intl_purchases_by_BEA'!$B$2:$B$74, MATCH($A11, '3_Intl_purchases_by_BEA'!$A$2:$A$74,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IFERROR(INDEX('3_Intl_purchases_by_BEA'!$B$2:$B$74, MATCH($A12, '3_Intl_purchases_by_BEA'!$A$2:$A$74,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IFERROR(INDEX('3_Intl_purchases_by_BEA'!$B$2:$B$74, MATCH($A13, '3_Intl_purchases_by_BEA'!$A$2:$A$74,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IFERROR(INDEX('3_Intl_purchases_by_BEA'!$B$2:$B$74, MATCH($A14, '3_Intl_purchases_by_BEA'!$A$2:$A$74,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IFERROR(INDEX('3_Intl_purchases_by_BEA'!$B$2:$B$74, MATCH($A15, '3_Intl_purchases_by_BEA'!$A$2:$A$74,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IFERROR(INDEX('3_Intl_purchases_by_BEA'!$B$2:$B$74, MATCH($A16, '3_Intl_purchases_by_BEA'!$A$2:$A$74,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IFERROR(INDEX('3_Intl_purchases_by_BEA'!$B$2:$B$74, MATCH($A17, '3_Intl_purchases_by_BEA'!$A$2:$A$74,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IFERROR(INDEX('3_Intl_purchases_by_BEA'!$B$2:$B$74, MATCH($A18, '3_Intl_purchases_by_BEA'!$A$2:$A$74,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IFERROR(INDEX('3_Intl_purchases_by_BEA'!$B$2:$B$74, MATCH($A19, '3_Intl_purchases_by_BEA'!$A$2:$A$74,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IFERROR(INDEX('3_Intl_purchases_by_BEA'!$B$2:$B$74, MATCH($A20, '3_Intl_purchases_by_BEA'!$A$2:$A$74,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IFERROR(INDEX('3_Intl_purchases_by_BEA'!$B$2:$B$74, MATCH($A21, '3_Intl_purchases_by_BEA'!$A$2:$A$74,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IFERROR(INDEX('3_Intl_purchases_by_BEA'!$B$2:$B$74, MATCH($A22, '3_Intl_purchases_by_BEA'!$A$2:$A$74,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IFERROR(INDEX('3_Intl_purchases_by_BEA'!$B$2:$B$74, MATCH($A23, '3_Intl_purchases_by_BEA'!$A$2:$A$74,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IFERROR(INDEX('3_Intl_purchases_by_BEA'!$B$2:$B$74, MATCH($A24, '3_Intl_purchases_by_BEA'!$A$2:$A$74,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IFERROR(INDEX('3_Intl_purchases_by_BEA'!$B$2:$B$74, MATCH($A25, '3_Intl_purchases_by_BEA'!$A$2:$A$74,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IFERROR(INDEX('3_Intl_purchases_by_BEA'!$B$2:$B$74, MATCH($A26, '3_Intl_purchases_by_BEA'!$A$2:$A$74,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IFERROR(INDEX('3_Intl_purchases_by_BEA'!$B$2:$B$74, MATCH($A27, '3_Intl_purchases_by_BEA'!$A$2:$A$74,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IFERROR(INDEX('3_Intl_purchases_by_BEA'!$B$2:$B$74, MATCH($A28, '3_Intl_purchases_by_BEA'!$A$2:$A$74,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IFERROR(INDEX('3_Intl_purchases_by_BEA'!$B$2:$B$74, MATCH($A29, '3_Intl_purchases_by_BEA'!$A$2:$A$74,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IFERROR(INDEX('3_Intl_purchases_by_BEA'!$B$2:$B$74, MATCH($A30, '3_Intl_purchases_by_BEA'!$A$2:$A$74,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IFERROR(INDEX('3_Intl_purchases_by_BEA'!$B$2:$B$74, MATCH($A31, '3_Intl_purchases_by_BEA'!$A$2:$A$74,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IFERROR(INDEX('3_Intl_purchases_by_BEA'!$B$2:$B$74, MATCH($A32, '3_Intl_purchases_by_BEA'!$A$2:$A$74,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IFERROR(INDEX('3_Intl_purchases_by_BEA'!$B$2:$B$74, MATCH($A33, '3_Intl_purchases_by_BEA'!$A$2:$A$74,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IFERROR(INDEX('3_Intl_purchases_by_BEA'!$B$2:$B$74, MATCH($A34, '3_Intl_purchases_by_BEA'!$A$2:$A$74,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IFERROR(INDEX('3_Intl_purchases_by_BEA'!$B$2:$B$74, MATCH($A35, '3_Intl_purchases_by_BEA'!$A$2:$A$74,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IFERROR(INDEX('3_Intl_purchases_by_BEA'!$B$2:$B$74, MATCH($A36, '3_Intl_purchases_by_BEA'!$A$2:$A$74,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IFERROR(INDEX('3_Intl_purchases_by_BEA'!$B$2:$B$74, MATCH($A37, '3_Intl_purchases_by_BEA'!$A$2:$A$74,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IFERROR(INDEX('3_Intl_purchases_by_BEA'!$B$2:$B$74, MATCH($A38, '3_Intl_purchases_by_BEA'!$A$2:$A$74,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IFERROR(INDEX('3_Intl_purchases_by_BEA'!$B$2:$B$74, MATCH($A39, '3_Intl_purchases_by_BEA'!$A$2:$A$74,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IFERROR(INDEX('3_Intl_purchases_by_BEA'!$B$2:$B$74, MATCH($A40, '3_Intl_purchases_by_BEA'!$A$2:$A$74,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IFERROR(INDEX('3_Intl_purchases_by_BEA'!$B$2:$B$74, MATCH($A41, '3_Intl_purchases_by_BEA'!$A$2:$A$74,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IFERROR(INDEX('3_Intl_purchases_by_BEA'!$B$2:$B$74, MATCH($A42, '3_Intl_purchases_by_BEA'!$A$2:$A$74,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IFERROR(INDEX('3_Intl_purchases_by_BEA'!$B$2:$B$74, MATCH($A43, '3_Intl_purchases_by_BEA'!$A$2:$A$74,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IFERROR(INDEX('3_Intl_purchases_by_BEA'!$B$2:$B$74, MATCH($A44, '3_Intl_purchases_by_BEA'!$A$2:$A$74,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IFERROR(INDEX('3_Intl_purchases_by_BEA'!$B$2:$B$74, MATCH($A45, '3_Intl_purchases_by_BEA'!$A$2:$A$74,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IFERROR(INDEX('3_Intl_purchases_by_BEA'!$B$2:$B$74, MATCH($A46, '3_Intl_purchases_by_BEA'!$A$2:$A$74,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IFERROR(INDEX('3_Intl_purchases_by_BEA'!$B$2:$B$74, MATCH($A47, '3_Intl_purchases_by_BEA'!$A$2:$A$74,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IFERROR(INDEX('3_Intl_purchases_by_BEA'!$B$2:$B$74, MATCH($A48, '3_Intl_purchases_by_BEA'!$A$2:$A$74,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IFERROR(INDEX('3_Intl_purchases_by_BEA'!$B$2:$B$74, MATCH($A49, '3_Intl_purchases_by_BEA'!$A$2:$A$74,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IFERROR(INDEX('3_Intl_purchases_by_BEA'!$B$2:$B$74, MATCH($A50, '3_Intl_purchases_by_BEA'!$A$2:$A$74,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IFERROR(INDEX('3_Intl_purchases_by_BEA'!$B$2:$B$74, MATCH($A51, '3_Intl_purchases_by_BEA'!$A$2:$A$74,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IFERROR(INDEX('3_Intl_purchases_by_BEA'!$B$2:$B$74, MATCH($A52, '3_Intl_purchases_by_BEA'!$A$2:$A$74,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IFERROR(INDEX('3_Intl_purchases_by_BEA'!$B$2:$B$74, MATCH($A53, '3_Intl_purchases_by_BEA'!$A$2:$A$74,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IFERROR(INDEX('3_Intl_purchases_by_BEA'!$B$2:$B$74, MATCH($A54, '3_Intl_purchases_by_BEA'!$A$2:$A$74,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IFERROR(INDEX('3_Intl_purchases_by_BEA'!$B$2:$B$74, MATCH($A55, '3_Intl_purchases_by_BEA'!$A$2:$A$74,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IFERROR(INDEX('3_Intl_purchases_by_BEA'!$B$2:$B$74, MATCH($A56, '3_Intl_purchases_by_BEA'!$A$2:$A$74,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IFERROR(INDEX('3_Intl_purchases_by_BEA'!$B$2:$B$74, MATCH($A57, '3_Intl_purchases_by_BEA'!$A$2:$A$74,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IFERROR(INDEX('3_Intl_purchases_by_BEA'!$B$2:$B$74, MATCH($A58, '3_Intl_purchases_by_BEA'!$A$2:$A$74,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IFERROR(INDEX('3_Intl_purchases_by_BEA'!$B$2:$B$74, MATCH($A59, '3_Intl_purchases_by_BEA'!$A$2:$A$74,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IFERROR(INDEX('3_Intl_purchases_by_BEA'!$B$2:$B$74, MATCH($A60, '3_Intl_purchases_by_BEA'!$A$2:$A$74,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IFERROR(INDEX('3_Intl_purchases_by_BEA'!$B$2:$B$74, MATCH($A61, '3_Intl_purchases_by_BEA'!$A$2:$A$74,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IFERROR(INDEX('3_Intl_purchases_by_BEA'!$B$2:$B$74, MATCH($A62, '3_Intl_purchases_by_BEA'!$A$2:$A$74,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IFERROR(INDEX('3_Intl_purchases_by_BEA'!$B$2:$B$74, MATCH($A63, '3_Intl_purchases_by_BEA'!$A$2:$A$74,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IFERROR(INDEX('3_Intl_purchases_by_BEA'!$B$2:$B$74, MATCH($A64, '3_Intl_purchases_by_BEA'!$A$2:$A$74,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IFERROR(INDEX('3_Intl_purchases_by_BEA'!$B$2:$B$74, MATCH($A65, '3_Intl_purchases_by_BEA'!$A$2:$A$74,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IFERROR(INDEX('3_Intl_purchases_by_BEA'!$B$2:$B$74, MATCH($A66, '3_Intl_purchases_by_BEA'!$A$2:$A$74,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IFERROR(INDEX('3_Intl_purchases_by_BEA'!$B$2:$B$74, MATCH($A67, '3_Intl_purchases_by_BEA'!$A$2:$A$74,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IFERROR(INDEX('3_Intl_purchases_by_BEA'!$B$2:$B$74, MATCH($A68, '3_Intl_purchases_by_BEA'!$A$2:$A$74,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IFERROR(INDEX('3_Intl_purchases_by_BEA'!$B$2:$B$74, MATCH($A69, '3_Intl_purchases_by_BEA'!$A$2:$A$74,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IFERROR(INDEX('3_Intl_purchases_by_BEA'!$B$2:$B$74, MATCH($A70, '3_Intl_purchases_by_BEA'!$A$2:$A$74,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IFERROR(INDEX('3_Intl_purchases_by_BEA'!$B$2:$B$74, MATCH($A71, '3_Intl_purchases_by_BEA'!$A$2:$A$74,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IFERROR(INDEX('3_Intl_purchases_by_BEA'!$B$2:$B$74, MATCH($A72, '3_Intl_purchases_by_BEA'!$A$2:$A$74,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IFERROR(INDEX('3_Intl_purchases_by_BEA'!$B$2:$B$74, MATCH($A73, '3_Intl_purchases_by_BEA'!$A$2:$A$74,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IFERROR(INDEX('3_Intl_purchases_by_BEA'!$B$2:$B$74, MATCH($A74, '3_Intl_purchases_by_BEA'!$A$2:$A$74,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IFERROR(INDEX('3_Intl_purchases_by_BEA'!$B$2:$B$74, MATCH($A75, '3_Intl_purchases_by_BEA'!$A$2:$A$74,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IFERROR(INDEX('3_Intl_purchases_by_BEA'!$B$2:$B$74, MATCH($A76, '3_Intl_purchases_by_BEA'!$A$2:$A$74,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IFERROR(INDEX('3_Intl_purchases_by_BEA'!$B$2:$B$74, MATCH($A77, '3_Intl_purchases_by_BEA'!$A$2:$A$74,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IFERROR(INDEX('3_Intl_purchases_by_BEA'!$B$2:$B$74, MATCH($A78, '3_Intl_purchases_by_BEA'!$A$2:$A$74,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IFERROR(INDEX('3_Intl_purchases_by_BEA'!$B$2:$B$74, MATCH($A79, '3_Intl_purchases_by_BEA'!$A$2:$A$74,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IFERROR(INDEX('3_Intl_purchases_by_BEA'!$B$2:$B$74, MATCH($A80, '3_Intl_purchases_by_BEA'!$A$2:$A$74,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IFERROR(INDEX('3_Intl_purchases_by_BEA'!$B$2:$B$74, MATCH($A81, '3_Intl_purchases_by_BEA'!$A$2:$A$74,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SUMIFS('8_Calc_Intl_ISIC'!$E$3:$E$81, '8_Calc_Intl_ISIC'!$B$3:$B$81, $A85)</f>
      </c>
      <c r="C85" t="str">
        <f>B85</f>
      </c>
    </row>
    <row r="86">
      <c r="A86" t="s">
        <v>191</v>
      </c>
      <c r="B86" t="str">
        <f>SUMIFS('8_Calc_Intl_ISIC'!$E$3:$E$81, '8_Calc_Intl_ISIC'!$B$3:$B$81, $A86)</f>
      </c>
      <c r="C86" t="str">
        <f>B86</f>
      </c>
    </row>
    <row r="87">
      <c r="A87" t="s">
        <v>192</v>
      </c>
      <c r="B87" t="str">
        <f>SUMIFS('8_Calc_Intl_ISIC'!$E$3:$E$81, '8_Calc_Intl_ISIC'!$B$3:$B$81, $A87)</f>
      </c>
      <c r="C87" t="str">
        <f>B87</f>
      </c>
    </row>
    <row r="88">
      <c r="A88" t="s">
        <v>193</v>
      </c>
      <c r="B88" t="str">
        <f>SUMIFS('8_Calc_Intl_ISIC'!$E$3:$E$81, '8_Calc_Intl_ISIC'!$B$3:$B$81, $A88)</f>
      </c>
      <c r="C88" t="str">
        <f>B88</f>
      </c>
    </row>
    <row r="89">
      <c r="A89" t="s">
        <v>195</v>
      </c>
      <c r="B89" t="str">
        <f>SUMIFS('8_Calc_Intl_ISIC'!$E$3:$E$81, '8_Calc_Intl_ISIC'!$B$3:$B$81, $A89)</f>
      </c>
      <c r="C89" t="str">
        <f>B89</f>
      </c>
    </row>
    <row r="90">
      <c r="A90" t="s">
        <v>196</v>
      </c>
      <c r="B90" t="str">
        <f>SUMIFS('8_Calc_Intl_ISIC'!$E$3:$E$81, '8_Calc_Intl_ISIC'!$B$3:$B$81, $A90)</f>
      </c>
      <c r="C90" t="str">
        <f>B90</f>
      </c>
    </row>
    <row r="91">
      <c r="A91" t="s">
        <v>197</v>
      </c>
      <c r="B91" t="str">
        <f>SUMIFS('8_Calc_Intl_ISIC'!$E$3:$E$81, '8_Calc_Intl_ISIC'!$B$3:$B$81, $A91)</f>
      </c>
      <c r="C91" t="str">
        <f>B91</f>
      </c>
    </row>
    <row r="92">
      <c r="A92" t="s">
        <v>198</v>
      </c>
      <c r="B92" t="str">
        <f>SUMIFS('8_Calc_Intl_ISIC'!$E$3:$E$81, '8_Calc_Intl_ISIC'!$B$3:$B$81, $A92)</f>
      </c>
      <c r="C92" t="str">
        <f>B92</f>
      </c>
    </row>
    <row r="93">
      <c r="A93" t="s">
        <v>199</v>
      </c>
      <c r="B93" t="str">
        <f>SUMIFS('8_Calc_Intl_ISIC'!$E$3:$E$81, '8_Calc_Intl_ISIC'!$B$3:$B$81, $A93)</f>
      </c>
      <c r="C93" t="str">
        <f>B93</f>
      </c>
    </row>
    <row r="94">
      <c r="A94" t="s">
        <v>200</v>
      </c>
      <c r="B94" t="str">
        <f>SUMIFS('8_Calc_Intl_ISIC'!$E$3:$E$81, '8_Calc_Intl_ISIC'!$B$3:$B$81, $A94)</f>
      </c>
      <c r="C94" t="str">
        <f>B94</f>
      </c>
    </row>
    <row r="95">
      <c r="A95" t="s">
        <v>110</v>
      </c>
      <c r="B95" t="str">
        <f>SUMIFS('8_Calc_Intl_ISIC'!$E$3:$E$81, '8_Calc_Intl_ISIC'!$B$3:$B$81, $A95)</f>
      </c>
      <c r="C95" t="str">
        <f>B95</f>
      </c>
    </row>
    <row r="96">
      <c r="A96" t="s">
        <v>202</v>
      </c>
      <c r="B96" t="str">
        <f>SUMIFS('8_Calc_Intl_ISIC'!$E$3:$E$81, '8_Calc_Intl_ISIC'!$B$3:$B$81, $A96)</f>
      </c>
      <c r="C96" t="str">
        <f>B96</f>
      </c>
    </row>
    <row r="97">
      <c r="A97" t="s">
        <v>203</v>
      </c>
      <c r="B97" t="str">
        <f>SUMIFS('8_Calc_Intl_ISIC'!$E$3:$E$81, '8_Calc_Intl_ISIC'!$B$3:$B$81, $A97)</f>
      </c>
      <c r="C97" t="str">
        <f>B97</f>
      </c>
    </row>
    <row r="98">
      <c r="A98" t="s">
        <v>204</v>
      </c>
      <c r="B98" t="str">
        <f>SUMIFS('8_Calc_Intl_ISIC'!$E$3:$E$81, '8_Calc_Intl_ISIC'!$B$3:$B$81, $A98)</f>
      </c>
      <c r="C98" t="str">
        <f>B98</f>
      </c>
    </row>
    <row r="99">
      <c r="A99" t="s">
        <v>205</v>
      </c>
      <c r="B99" t="str">
        <f>SUMIFS('8_Calc_Intl_ISIC'!$E$3:$E$81, '8_Calc_Intl_ISIC'!$B$3:$B$81, $A99)</f>
      </c>
      <c r="C99" t="str">
        <f>B99</f>
      </c>
    </row>
    <row r="100">
      <c r="A100" t="s">
        <v>206</v>
      </c>
      <c r="B100" t="str">
        <f>SUMIFS('8_Calc_Intl_ISIC'!$E$3:$E$81, '8_Calc_Intl_ISIC'!$B$3:$B$81, $A100)</f>
      </c>
      <c r="C100" t="str">
        <f>B100</f>
      </c>
    </row>
    <row r="101">
      <c r="A101" t="s">
        <v>207</v>
      </c>
      <c r="B101" t="str">
        <f>SUMIFS('8_Calc_Intl_ISIC'!$E$3:$E$81, '8_Calc_Intl_ISIC'!$B$3:$B$81, $A101)</f>
      </c>
      <c r="C101" t="str">
        <f>B101</f>
      </c>
    </row>
    <row r="102">
      <c r="A102" t="s">
        <v>208</v>
      </c>
      <c r="B102" t="str">
        <f>SUMIFS('8_Calc_Intl_ISIC'!$E$3:$E$81, '8_Calc_Intl_ISIC'!$B$3:$B$81, $A102)</f>
      </c>
      <c r="C102" t="str">
        <f>B102</f>
      </c>
    </row>
    <row r="103">
      <c r="A103" t="s">
        <v>209</v>
      </c>
      <c r="B103" t="str">
        <f>SUMIFS('8_Calc_Intl_ISIC'!$E$3:$E$81, '8_Calc_Intl_ISIC'!$B$3:$B$81, $A103)</f>
      </c>
      <c r="C103" t="str">
        <f>B103</f>
      </c>
    </row>
    <row r="104">
      <c r="A104" t="s">
        <v>210</v>
      </c>
      <c r="B104" t="str">
        <f>SUMIFS('8_Calc_Intl_ISIC'!$E$3:$E$81, '8_Calc_Intl_ISIC'!$B$3:$B$81, $A104)</f>
      </c>
      <c r="C104" t="str">
        <f>B104</f>
      </c>
    </row>
    <row r="105">
      <c r="A105" t="s">
        <v>211</v>
      </c>
      <c r="B105" t="str">
        <f>SUMIFS('8_Calc_Intl_ISIC'!$E$3:$E$81, '8_Calc_Intl_ISIC'!$B$3:$B$81, $A105)</f>
      </c>
      <c r="C105" t="str">
        <f>B105</f>
      </c>
    </row>
    <row r="106">
      <c r="A106" t="s">
        <v>212</v>
      </c>
      <c r="B106" t="str">
        <f>SUMIFS('8_Calc_Intl_ISIC'!$E$3:$E$81, '8_Calc_Intl_ISIC'!$B$3:$B$81, $A106)</f>
      </c>
      <c r="C106" t="str">
        <f>B106</f>
      </c>
    </row>
    <row r="107">
      <c r="A107" t="s">
        <v>214</v>
      </c>
      <c r="B107" t="str">
        <f>SUMIFS('8_Calc_Intl_ISIC'!$E$3:$E$81, '8_Calc_Intl_ISIC'!$B$3:$B$81, $A107)</f>
      </c>
      <c r="C107" t="str">
        <f>B107</f>
      </c>
    </row>
    <row r="108">
      <c r="A108" t="s">
        <v>215</v>
      </c>
      <c r="B108" t="str">
        <f>SUMIFS('8_Calc_Intl_ISIC'!$E$3:$E$81, '8_Calc_Intl_ISIC'!$B$3:$B$81, $A108)</f>
      </c>
      <c r="C108" t="str">
        <f>B108</f>
      </c>
    </row>
    <row r="109">
      <c r="A109" t="s">
        <v>216</v>
      </c>
      <c r="B109" t="str">
        <f>SUMIFS('8_Calc_Intl_ISIC'!$E$3:$E$81, '8_Calc_Intl_ISIC'!$B$3:$B$81,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IFERROR(INDEX('5_Total_purchases_by_BEA'!$B$2:$B$74, MATCH($A3, '5_Total_purchases_by_BEA'!$A$2:$A$74,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IFERROR(INDEX('5_Total_purchases_by_BEA'!$B$2:$B$74, MATCH($A4, '5_Total_purchases_by_BEA'!$A$2:$A$74,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IFERROR(INDEX('5_Total_purchases_by_BEA'!$B$2:$B$74, MATCH($A5, '5_Total_purchases_by_BEA'!$A$2:$A$74,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IFERROR(INDEX('5_Total_purchases_by_BEA'!$B$2:$B$74, MATCH($A6, '5_Total_purchases_by_BEA'!$A$2:$A$74,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IFERROR(INDEX('5_Total_purchases_by_BEA'!$B$2:$B$74, MATCH($A7, '5_Total_purchases_by_BEA'!$A$2:$A$74,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IFERROR(INDEX('5_Total_purchases_by_BEA'!$B$2:$B$74, MATCH($A8, '5_Total_purchases_by_BEA'!$A$2:$A$74,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IFERROR(INDEX('5_Total_purchases_by_BEA'!$B$2:$B$74, MATCH($A9, '5_Total_purchases_by_BEA'!$A$2:$A$74,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IFERROR(INDEX('5_Total_purchases_by_BEA'!$B$2:$B$74, MATCH($A10, '5_Total_purchases_by_BEA'!$A$2:$A$74,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IFERROR(INDEX('5_Total_purchases_by_BEA'!$B$2:$B$74, MATCH($A11, '5_Total_purchases_by_BEA'!$A$2:$A$74,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IFERROR(INDEX('5_Total_purchases_by_BEA'!$B$2:$B$74, MATCH($A12, '5_Total_purchases_by_BEA'!$A$2:$A$74,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IFERROR(INDEX('5_Total_purchases_by_BEA'!$B$2:$B$74, MATCH($A13, '5_Total_purchases_by_BEA'!$A$2:$A$74,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IFERROR(INDEX('5_Total_purchases_by_BEA'!$B$2:$B$74, MATCH($A14, '5_Total_purchases_by_BEA'!$A$2:$A$74,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IFERROR(INDEX('5_Total_purchases_by_BEA'!$B$2:$B$74, MATCH($A15, '5_Total_purchases_by_BEA'!$A$2:$A$74,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IFERROR(INDEX('5_Total_purchases_by_BEA'!$B$2:$B$74, MATCH($A16, '5_Total_purchases_by_BEA'!$A$2:$A$74,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IFERROR(INDEX('5_Total_purchases_by_BEA'!$B$2:$B$74, MATCH($A17, '5_Total_purchases_by_BEA'!$A$2:$A$74,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IFERROR(INDEX('5_Total_purchases_by_BEA'!$B$2:$B$74, MATCH($A18, '5_Total_purchases_by_BEA'!$A$2:$A$74,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IFERROR(INDEX('5_Total_purchases_by_BEA'!$B$2:$B$74, MATCH($A19, '5_Total_purchases_by_BEA'!$A$2:$A$74,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IFERROR(INDEX('5_Total_purchases_by_BEA'!$B$2:$B$74, MATCH($A20, '5_Total_purchases_by_BEA'!$A$2:$A$74,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IFERROR(INDEX('5_Total_purchases_by_BEA'!$B$2:$B$74, MATCH($A21, '5_Total_purchases_by_BEA'!$A$2:$A$74,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IFERROR(INDEX('5_Total_purchases_by_BEA'!$B$2:$B$74, MATCH($A22, '5_Total_purchases_by_BEA'!$A$2:$A$74,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IFERROR(INDEX('5_Total_purchases_by_BEA'!$B$2:$B$74, MATCH($A23, '5_Total_purchases_by_BEA'!$A$2:$A$74,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IFERROR(INDEX('5_Total_purchases_by_BEA'!$B$2:$B$74, MATCH($A24, '5_Total_purchases_by_BEA'!$A$2:$A$74,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IFERROR(INDEX('5_Total_purchases_by_BEA'!$B$2:$B$74, MATCH($A25, '5_Total_purchases_by_BEA'!$A$2:$A$74,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IFERROR(INDEX('5_Total_purchases_by_BEA'!$B$2:$B$74, MATCH($A26, '5_Total_purchases_by_BEA'!$A$2:$A$74,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IFERROR(INDEX('5_Total_purchases_by_BEA'!$B$2:$B$74, MATCH($A27, '5_Total_purchases_by_BEA'!$A$2:$A$74,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IFERROR(INDEX('5_Total_purchases_by_BEA'!$B$2:$B$74, MATCH($A28, '5_Total_purchases_by_BEA'!$A$2:$A$74,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IFERROR(INDEX('5_Total_purchases_by_BEA'!$B$2:$B$74, MATCH($A29, '5_Total_purchases_by_BEA'!$A$2:$A$74,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IFERROR(INDEX('5_Total_purchases_by_BEA'!$B$2:$B$74, MATCH($A30, '5_Total_purchases_by_BEA'!$A$2:$A$74,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IFERROR(INDEX('5_Total_purchases_by_BEA'!$B$2:$B$74, MATCH($A31, '5_Total_purchases_by_BEA'!$A$2:$A$74,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IFERROR(INDEX('5_Total_purchases_by_BEA'!$B$2:$B$74, MATCH($A32, '5_Total_purchases_by_BEA'!$A$2:$A$74,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IFERROR(INDEX('5_Total_purchases_by_BEA'!$B$2:$B$74, MATCH($A33, '5_Total_purchases_by_BEA'!$A$2:$A$74,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IFERROR(INDEX('5_Total_purchases_by_BEA'!$B$2:$B$74, MATCH($A34, '5_Total_purchases_by_BEA'!$A$2:$A$74,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IFERROR(INDEX('5_Total_purchases_by_BEA'!$B$2:$B$74, MATCH($A35, '5_Total_purchases_by_BEA'!$A$2:$A$74,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IFERROR(INDEX('5_Total_purchases_by_BEA'!$B$2:$B$74, MATCH($A36, '5_Total_purchases_by_BEA'!$A$2:$A$74,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IFERROR(INDEX('5_Total_purchases_by_BEA'!$B$2:$B$74, MATCH($A37, '5_Total_purchases_by_BEA'!$A$2:$A$74,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IFERROR(INDEX('5_Total_purchases_by_BEA'!$B$2:$B$74, MATCH($A38, '5_Total_purchases_by_BEA'!$A$2:$A$74,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IFERROR(INDEX('5_Total_purchases_by_BEA'!$B$2:$B$74, MATCH($A39, '5_Total_purchases_by_BEA'!$A$2:$A$74,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IFERROR(INDEX('5_Total_purchases_by_BEA'!$B$2:$B$74, MATCH($A40, '5_Total_purchases_by_BEA'!$A$2:$A$74,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IFERROR(INDEX('5_Total_purchases_by_BEA'!$B$2:$B$74, MATCH($A41, '5_Total_purchases_by_BEA'!$A$2:$A$74,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IFERROR(INDEX('5_Total_purchases_by_BEA'!$B$2:$B$74, MATCH($A42, '5_Total_purchases_by_BEA'!$A$2:$A$74,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IFERROR(INDEX('5_Total_purchases_by_BEA'!$B$2:$B$74, MATCH($A43, '5_Total_purchases_by_BEA'!$A$2:$A$74,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IFERROR(INDEX('5_Total_purchases_by_BEA'!$B$2:$B$74, MATCH($A44, '5_Total_purchases_by_BEA'!$A$2:$A$74,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IFERROR(INDEX('5_Total_purchases_by_BEA'!$B$2:$B$74, MATCH($A45, '5_Total_purchases_by_BEA'!$A$2:$A$74,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IFERROR(INDEX('5_Total_purchases_by_BEA'!$B$2:$B$74, MATCH($A46, '5_Total_purchases_by_BEA'!$A$2:$A$74,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IFERROR(INDEX('5_Total_purchases_by_BEA'!$B$2:$B$74, MATCH($A47, '5_Total_purchases_by_BEA'!$A$2:$A$74,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IFERROR(INDEX('5_Total_purchases_by_BEA'!$B$2:$B$74, MATCH($A48, '5_Total_purchases_by_BEA'!$A$2:$A$74,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IFERROR(INDEX('5_Total_purchases_by_BEA'!$B$2:$B$74, MATCH($A49, '5_Total_purchases_by_BEA'!$A$2:$A$74,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IFERROR(INDEX('5_Total_purchases_by_BEA'!$B$2:$B$74, MATCH($A50, '5_Total_purchases_by_BEA'!$A$2:$A$74,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IFERROR(INDEX('5_Total_purchases_by_BEA'!$B$2:$B$74, MATCH($A51, '5_Total_purchases_by_BEA'!$A$2:$A$74,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IFERROR(INDEX('5_Total_purchases_by_BEA'!$B$2:$B$74, MATCH($A52, '5_Total_purchases_by_BEA'!$A$2:$A$74,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IFERROR(INDEX('5_Total_purchases_by_BEA'!$B$2:$B$74, MATCH($A53, '5_Total_purchases_by_BEA'!$A$2:$A$74,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IFERROR(INDEX('5_Total_purchases_by_BEA'!$B$2:$B$74, MATCH($A54, '5_Total_purchases_by_BEA'!$A$2:$A$74,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IFERROR(INDEX('5_Total_purchases_by_BEA'!$B$2:$B$74, MATCH($A55, '5_Total_purchases_by_BEA'!$A$2:$A$74,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IFERROR(INDEX('5_Total_purchases_by_BEA'!$B$2:$B$74, MATCH($A56, '5_Total_purchases_by_BEA'!$A$2:$A$74,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IFERROR(INDEX('5_Total_purchases_by_BEA'!$B$2:$B$74, MATCH($A57, '5_Total_purchases_by_BEA'!$A$2:$A$74,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IFERROR(INDEX('5_Total_purchases_by_BEA'!$B$2:$B$74, MATCH($A58, '5_Total_purchases_by_BEA'!$A$2:$A$74,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IFERROR(INDEX('5_Total_purchases_by_BEA'!$B$2:$B$74, MATCH($A59, '5_Total_purchases_by_BEA'!$A$2:$A$74,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IFERROR(INDEX('5_Total_purchases_by_BEA'!$B$2:$B$74, MATCH($A60, '5_Total_purchases_by_BEA'!$A$2:$A$74,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IFERROR(INDEX('5_Total_purchases_by_BEA'!$B$2:$B$74, MATCH($A61, '5_Total_purchases_by_BEA'!$A$2:$A$74,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IFERROR(INDEX('5_Total_purchases_by_BEA'!$B$2:$B$74, MATCH($A62, '5_Total_purchases_by_BEA'!$A$2:$A$74,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IFERROR(INDEX('5_Total_purchases_by_BEA'!$B$2:$B$74, MATCH($A63, '5_Total_purchases_by_BEA'!$A$2:$A$74,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IFERROR(INDEX('5_Total_purchases_by_BEA'!$B$2:$B$74, MATCH($A64, '5_Total_purchases_by_BEA'!$A$2:$A$74,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IFERROR(INDEX('5_Total_purchases_by_BEA'!$B$2:$B$74, MATCH($A65, '5_Total_purchases_by_BEA'!$A$2:$A$74,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IFERROR(INDEX('5_Total_purchases_by_BEA'!$B$2:$B$74, MATCH($A66, '5_Total_purchases_by_BEA'!$A$2:$A$74,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IFERROR(INDEX('5_Total_purchases_by_BEA'!$B$2:$B$74, MATCH($A67, '5_Total_purchases_by_BEA'!$A$2:$A$74,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IFERROR(INDEX('5_Total_purchases_by_BEA'!$B$2:$B$74, MATCH($A68, '5_Total_purchases_by_BEA'!$A$2:$A$74,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IFERROR(INDEX('5_Total_purchases_by_BEA'!$B$2:$B$74, MATCH($A69, '5_Total_purchases_by_BEA'!$A$2:$A$74,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IFERROR(INDEX('5_Total_purchases_by_BEA'!$B$2:$B$74, MATCH($A70, '5_Total_purchases_by_BEA'!$A$2:$A$74,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IFERROR(INDEX('5_Total_purchases_by_BEA'!$B$2:$B$74, MATCH($A71, '5_Total_purchases_by_BEA'!$A$2:$A$74,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IFERROR(INDEX('5_Total_purchases_by_BEA'!$B$2:$B$74, MATCH($A72, '5_Total_purchases_by_BEA'!$A$2:$A$74,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IFERROR(INDEX('5_Total_purchases_by_BEA'!$B$2:$B$74, MATCH($A73, '5_Total_purchases_by_BEA'!$A$2:$A$74,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IFERROR(INDEX('5_Total_purchases_by_BEA'!$B$2:$B$74, MATCH($A74, '5_Total_purchases_by_BEA'!$A$2:$A$74,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IFERROR(INDEX('5_Total_purchases_by_BEA'!$B$2:$B$74, MATCH($A75, '5_Total_purchases_by_BEA'!$A$2:$A$74,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IFERROR(INDEX('5_Total_purchases_by_BEA'!$B$2:$B$74, MATCH($A76, '5_Total_purchases_by_BEA'!$A$2:$A$74,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IFERROR(INDEX('5_Total_purchases_by_BEA'!$B$2:$B$74, MATCH($A77, '5_Total_purchases_by_BEA'!$A$2:$A$74,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IFERROR(INDEX('5_Total_purchases_by_BEA'!$B$2:$B$74, MATCH($A78, '5_Total_purchases_by_BEA'!$A$2:$A$74,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IFERROR(INDEX('5_Total_purchases_by_BEA'!$B$2:$B$74, MATCH($A79, '5_Total_purchases_by_BEA'!$A$2:$A$74,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IFERROR(INDEX('5_Total_purchases_by_BEA'!$B$2:$B$74, MATCH($A80, '5_Total_purchases_by_BEA'!$A$2:$A$74,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IFERROR(INDEX('5_Total_purchases_by_BEA'!$B$2:$B$74, MATCH($A81, '5_Total_purchases_by_BEA'!$A$2:$A$74,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SUMIFS('9_Calc_Total_ISIC'!$E$3:$E$81, '9_Calc_Total_ISIC'!$B$3:$B$81, $A85)</f>
      </c>
      <c r="C85" t="str">
        <f>B85</f>
      </c>
    </row>
    <row r="86">
      <c r="A86" t="s">
        <v>191</v>
      </c>
      <c r="B86" t="str">
        <f>SUMIFS('9_Calc_Total_ISIC'!$E$3:$E$81, '9_Calc_Total_ISIC'!$B$3:$B$81, $A86)</f>
      </c>
      <c r="C86" t="str">
        <f>B86</f>
      </c>
    </row>
    <row r="87">
      <c r="A87" t="s">
        <v>192</v>
      </c>
      <c r="B87" t="str">
        <f>SUMIFS('9_Calc_Total_ISIC'!$E$3:$E$81, '9_Calc_Total_ISIC'!$B$3:$B$81, $A87)</f>
      </c>
      <c r="C87" t="str">
        <f>B87</f>
      </c>
    </row>
    <row r="88">
      <c r="A88" t="s">
        <v>193</v>
      </c>
      <c r="B88" t="str">
        <f>SUMIFS('9_Calc_Total_ISIC'!$E$3:$E$81, '9_Calc_Total_ISIC'!$B$3:$B$81, $A88)</f>
      </c>
      <c r="C88" t="str">
        <f>B88</f>
      </c>
    </row>
    <row r="89">
      <c r="A89" t="s">
        <v>195</v>
      </c>
      <c r="B89" t="str">
        <f>SUMIFS('9_Calc_Total_ISIC'!$E$3:$E$81, '9_Calc_Total_ISIC'!$B$3:$B$81, $A89)</f>
      </c>
      <c r="C89" t="str">
        <f>B89</f>
      </c>
    </row>
    <row r="90">
      <c r="A90" t="s">
        <v>196</v>
      </c>
      <c r="B90" t="str">
        <f>SUMIFS('9_Calc_Total_ISIC'!$E$3:$E$81, '9_Calc_Total_ISIC'!$B$3:$B$81, $A90)</f>
      </c>
      <c r="C90" t="str">
        <f>B90</f>
      </c>
    </row>
    <row r="91">
      <c r="A91" t="s">
        <v>197</v>
      </c>
      <c r="B91" t="str">
        <f>SUMIFS('9_Calc_Total_ISIC'!$E$3:$E$81, '9_Calc_Total_ISIC'!$B$3:$B$81, $A91)</f>
      </c>
      <c r="C91" t="str">
        <f>B91</f>
      </c>
    </row>
    <row r="92">
      <c r="A92" t="s">
        <v>198</v>
      </c>
      <c r="B92" t="str">
        <f>SUMIFS('9_Calc_Total_ISIC'!$E$3:$E$81, '9_Calc_Total_ISIC'!$B$3:$B$81, $A92)</f>
      </c>
      <c r="C92" t="str">
        <f>B92</f>
      </c>
    </row>
    <row r="93">
      <c r="A93" t="s">
        <v>199</v>
      </c>
      <c r="B93" t="str">
        <f>SUMIFS('9_Calc_Total_ISIC'!$E$3:$E$81, '9_Calc_Total_ISIC'!$B$3:$B$81, $A93)</f>
      </c>
      <c r="C93" t="str">
        <f>B93</f>
      </c>
    </row>
    <row r="94">
      <c r="A94" t="s">
        <v>200</v>
      </c>
      <c r="B94" t="str">
        <f>SUMIFS('9_Calc_Total_ISIC'!$E$3:$E$81, '9_Calc_Total_ISIC'!$B$3:$B$81, $A94)</f>
      </c>
      <c r="C94" t="str">
        <f>B94</f>
      </c>
    </row>
    <row r="95">
      <c r="A95" t="s">
        <v>110</v>
      </c>
      <c r="B95" t="str">
        <f>SUMIFS('9_Calc_Total_ISIC'!$E$3:$E$81, '9_Calc_Total_ISIC'!$B$3:$B$81, $A95)</f>
      </c>
      <c r="C95" t="str">
        <f>B95</f>
      </c>
    </row>
    <row r="96">
      <c r="A96" t="s">
        <v>202</v>
      </c>
      <c r="B96" t="str">
        <f>SUMIFS('9_Calc_Total_ISIC'!$E$3:$E$81, '9_Calc_Total_ISIC'!$B$3:$B$81, $A96)</f>
      </c>
      <c r="C96" t="str">
        <f>B96</f>
      </c>
    </row>
    <row r="97">
      <c r="A97" t="s">
        <v>203</v>
      </c>
      <c r="B97" t="str">
        <f>SUMIFS('9_Calc_Total_ISIC'!$E$3:$E$81, '9_Calc_Total_ISIC'!$B$3:$B$81, $A97)</f>
      </c>
      <c r="C97" t="str">
        <f>B97</f>
      </c>
    </row>
    <row r="98">
      <c r="A98" t="s">
        <v>204</v>
      </c>
      <c r="B98" t="str">
        <f>SUMIFS('9_Calc_Total_ISIC'!$E$3:$E$81, '9_Calc_Total_ISIC'!$B$3:$B$81, $A98)</f>
      </c>
      <c r="C98" t="str">
        <f>B98</f>
      </c>
    </row>
    <row r="99">
      <c r="A99" t="s">
        <v>205</v>
      </c>
      <c r="B99" t="str">
        <f>SUMIFS('9_Calc_Total_ISIC'!$E$3:$E$81, '9_Calc_Total_ISIC'!$B$3:$B$81, $A99)</f>
      </c>
      <c r="C99" t="str">
        <f>B99</f>
      </c>
    </row>
    <row r="100">
      <c r="A100" t="s">
        <v>206</v>
      </c>
      <c r="B100" t="str">
        <f>SUMIFS('9_Calc_Total_ISIC'!$E$3:$E$81, '9_Calc_Total_ISIC'!$B$3:$B$81, $A100)</f>
      </c>
      <c r="C100" t="str">
        <f>B100</f>
      </c>
    </row>
    <row r="101">
      <c r="A101" t="s">
        <v>207</v>
      </c>
      <c r="B101" t="str">
        <f>SUMIFS('9_Calc_Total_ISIC'!$E$3:$E$81, '9_Calc_Total_ISIC'!$B$3:$B$81, $A101)</f>
      </c>
      <c r="C101" t="str">
        <f>B101</f>
      </c>
    </row>
    <row r="102">
      <c r="A102" t="s">
        <v>208</v>
      </c>
      <c r="B102" t="str">
        <f>SUMIFS('9_Calc_Total_ISIC'!$E$3:$E$81, '9_Calc_Total_ISIC'!$B$3:$B$81, $A102)</f>
      </c>
      <c r="C102" t="str">
        <f>B102</f>
      </c>
    </row>
    <row r="103">
      <c r="A103" t="s">
        <v>209</v>
      </c>
      <c r="B103" t="str">
        <f>SUMIFS('9_Calc_Total_ISIC'!$E$3:$E$81, '9_Calc_Total_ISIC'!$B$3:$B$81, $A103)</f>
      </c>
      <c r="C103" t="str">
        <f>B103</f>
      </c>
    </row>
    <row r="104">
      <c r="A104" t="s">
        <v>210</v>
      </c>
      <c r="B104" t="str">
        <f>SUMIFS('9_Calc_Total_ISIC'!$E$3:$E$81, '9_Calc_Total_ISIC'!$B$3:$B$81, $A104)</f>
      </c>
      <c r="C104" t="str">
        <f>B104</f>
      </c>
    </row>
    <row r="105">
      <c r="A105" t="s">
        <v>211</v>
      </c>
      <c r="B105" t="str">
        <f>SUMIFS('9_Calc_Total_ISIC'!$E$3:$E$81, '9_Calc_Total_ISIC'!$B$3:$B$81, $A105)</f>
      </c>
      <c r="C105" t="str">
        <f>B105</f>
      </c>
    </row>
    <row r="106">
      <c r="A106" t="s">
        <v>212</v>
      </c>
      <c r="B106" t="str">
        <f>SUMIFS('9_Calc_Total_ISIC'!$E$3:$E$81, '9_Calc_Total_ISIC'!$B$3:$B$81, $A106)</f>
      </c>
      <c r="C106" t="str">
        <f>B106</f>
      </c>
    </row>
    <row r="107">
      <c r="A107" t="s">
        <v>214</v>
      </c>
      <c r="B107" t="str">
        <f>SUMIFS('9_Calc_Total_ISIC'!$E$3:$E$81, '9_Calc_Total_ISIC'!$B$3:$B$81, $A107)</f>
      </c>
      <c r="C107" t="str">
        <f>B107</f>
      </c>
    </row>
    <row r="108">
      <c r="A108" t="s">
        <v>215</v>
      </c>
      <c r="B108" t="str">
        <f>SUMIFS('9_Calc_Total_ISIC'!$E$3:$E$81, '9_Calc_Total_ISIC'!$B$3:$B$81, $A108)</f>
      </c>
      <c r="C108" t="str">
        <f>B108</f>
      </c>
    </row>
    <row r="109">
      <c r="A109" t="s">
        <v>216</v>
      </c>
      <c r="B109" t="str">
        <f>SUMIFS('9_Calc_Total_ISIC'!$E$3:$E$81, '9_Calc_Total_ISIC'!$B$3:$B$81,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t="s">
        <v>582</v>
      </c>
    </row>
    <row r="2">
      <c r="A2" t="s">
        <v>188</v>
      </c>
      <c r="B2" t="s">
        <v>583</v>
      </c>
      <c r="C2" t="s">
        <v>584</v>
      </c>
      <c r="D2" t="s">
        <v>585</v>
      </c>
      <c r="E2" t="s">
        <v>586</v>
      </c>
      <c r="F2" t="s">
        <v>587</v>
      </c>
      <c r="G2" t="s">
        <v>588</v>
      </c>
      <c r="H2" t="s">
        <v>589</v>
      </c>
      <c r="I2" t="s">
        <v>590</v>
      </c>
      <c r="J2" t="s">
        <v>591</v>
      </c>
    </row>
    <row r="3">
      <c r="A3" t="s">
        <v>190</v>
      </c>
      <c r="B3" t="str">
        <f>IFERROR(INDEX('6_Calc_Gov_ISIC'!$C$85:$C$109, MATCH($A3, '6_Calc_Gov_ISIC'!$A$85:$A$109, 0)), 0)</f>
      </c>
      <c r="C3" t="str">
        <f>IFERROR(INDEX('7_Calc_HH_ISIC'!$C$85:$C$109, MATCH($A3, '7_Calc_HH_ISIC'!$A$85:$A$109, 0)), 0)</f>
      </c>
      <c r="D3" t="str">
        <f>IFERROR(INDEX('8_Calc_Intl_ISIC'!$C$85:$C$109, MATCH($A3, '8_Calc_Intl_ISIC'!$A$85:$A$109, 0)), 0)</f>
      </c>
      <c r="E3" t="str">
        <f>IFERROR(INDEX('9_Calc_Total_ISIC'!$C$85:$C$109, MATCH($A3, '9_Calc_Total_ISIC'!$A$85:$A$109, 0)), 0)</f>
      </c>
      <c r="F3" t="str">
        <f>MAX(E3, Keys!$C$5)</f>
      </c>
      <c r="G3" t="str">
        <f>B3/F3</f>
      </c>
      <c r="H3" t="str">
        <f>C3/F3</f>
      </c>
      <c r="I3" t="str">
        <f>D3/F3</f>
      </c>
      <c r="J3" t="str">
        <f>MAX(0, 1-G3-H3-I3)</f>
      </c>
    </row>
    <row r="4">
      <c r="A4" t="s">
        <v>191</v>
      </c>
      <c r="B4" t="str">
        <f>IFERROR(INDEX('6_Calc_Gov_ISIC'!$C$85:$C$109, MATCH($A4, '6_Calc_Gov_ISIC'!$A$85:$A$109, 0)), 0)</f>
      </c>
      <c r="C4" t="str">
        <f>IFERROR(INDEX('7_Calc_HH_ISIC'!$C$85:$C$109, MATCH($A4, '7_Calc_HH_ISIC'!$A$85:$A$109, 0)), 0)</f>
      </c>
      <c r="D4" t="str">
        <f>IFERROR(INDEX('8_Calc_Intl_ISIC'!$C$85:$C$109, MATCH($A4, '8_Calc_Intl_ISIC'!$A$85:$A$109, 0)), 0)</f>
      </c>
      <c r="E4" t="str">
        <f>IFERROR(INDEX('9_Calc_Total_ISIC'!$C$85:$C$109, MATCH($A4, '9_Calc_Total_ISIC'!$A$85:$A$109, 0)), 0)</f>
      </c>
      <c r="F4" t="str">
        <f>MAX(E4, Keys!$C$5)</f>
      </c>
      <c r="G4" t="str">
        <f>B4/F4</f>
      </c>
      <c r="H4" t="str">
        <f>C4/F4</f>
      </c>
      <c r="I4" t="str">
        <f>D4/F4</f>
      </c>
      <c r="J4" t="str">
        <f>MAX(0, 1-G4-H4-I4)</f>
      </c>
    </row>
    <row r="5">
      <c r="A5" t="s">
        <v>192</v>
      </c>
      <c r="B5" t="str">
        <f>IFERROR(INDEX('6_Calc_Gov_ISIC'!$C$85:$C$109, MATCH($A5, '6_Calc_Gov_ISIC'!$A$85:$A$109, 0)), 0)</f>
      </c>
      <c r="C5" t="str">
        <f>IFERROR(INDEX('7_Calc_HH_ISIC'!$C$85:$C$109, MATCH($A5, '7_Calc_HH_ISIC'!$A$85:$A$109, 0)), 0)</f>
      </c>
      <c r="D5" t="str">
        <f>IFERROR(INDEX('8_Calc_Intl_ISIC'!$C$85:$C$109, MATCH($A5, '8_Calc_Intl_ISIC'!$A$85:$A$109, 0)), 0)</f>
      </c>
      <c r="E5" t="str">
        <f>IFERROR(INDEX('9_Calc_Total_ISIC'!$C$85:$C$109, MATCH($A5, '9_Calc_Total_ISIC'!$A$85:$A$109, 0)), 0)</f>
      </c>
      <c r="F5" t="str">
        <f>MAX(E5, Keys!$C$5)</f>
      </c>
      <c r="G5" t="str">
        <f>B5/F5</f>
      </c>
      <c r="H5" t="str">
        <f>C5/F5</f>
      </c>
      <c r="I5" t="str">
        <f>D5/F5</f>
      </c>
      <c r="J5" t="str">
        <f>MAX(0, 1-G5-H5-I5)</f>
      </c>
    </row>
    <row r="6">
      <c r="A6" t="s">
        <v>193</v>
      </c>
      <c r="B6" t="str">
        <f>IFERROR(INDEX('6_Calc_Gov_ISIC'!$C$85:$C$109, MATCH($A6, '6_Calc_Gov_ISIC'!$A$85:$A$109, 0)), 0)</f>
      </c>
      <c r="C6" t="str">
        <f>IFERROR(INDEX('7_Calc_HH_ISIC'!$C$85:$C$109, MATCH($A6, '7_Calc_HH_ISIC'!$A$85:$A$109, 0)), 0)</f>
      </c>
      <c r="D6" t="str">
        <f>IFERROR(INDEX('8_Calc_Intl_ISIC'!$C$85:$C$109, MATCH($A6, '8_Calc_Intl_ISIC'!$A$85:$A$109, 0)), 0)</f>
      </c>
      <c r="E6" t="str">
        <f>IFERROR(INDEX('9_Calc_Total_ISIC'!$C$85:$C$109, MATCH($A6, '9_Calc_Total_ISIC'!$A$85:$A$109, 0)), 0)</f>
      </c>
      <c r="F6" t="str">
        <f>MAX(E6, Keys!$C$5)</f>
      </c>
      <c r="G6" t="str">
        <f>B6/F6</f>
      </c>
      <c r="H6" t="str">
        <f>C6/F6</f>
      </c>
      <c r="I6" t="str">
        <f>D6/F6</f>
      </c>
      <c r="J6" t="str">
        <f>MAX(0, 1-G6-H6-I6)</f>
      </c>
    </row>
    <row r="7">
      <c r="A7" t="s">
        <v>195</v>
      </c>
      <c r="B7" t="str">
        <f>IFERROR(INDEX('6_Calc_Gov_ISIC'!$C$85:$C$109, MATCH($A7, '6_Calc_Gov_ISIC'!$A$85:$A$109, 0)), 0)</f>
      </c>
      <c r="C7" t="str">
        <f>IFERROR(INDEX('7_Calc_HH_ISIC'!$C$85:$C$109, MATCH($A7, '7_Calc_HH_ISIC'!$A$85:$A$109, 0)), 0)</f>
      </c>
      <c r="D7" t="str">
        <f>IFERROR(INDEX('8_Calc_Intl_ISIC'!$C$85:$C$109, MATCH($A7, '8_Calc_Intl_ISIC'!$A$85:$A$109, 0)), 0)</f>
      </c>
      <c r="E7" t="str">
        <f>IFERROR(INDEX('9_Calc_Total_ISIC'!$C$85:$C$109, MATCH($A7, '9_Calc_Total_ISIC'!$A$85:$A$109, 0)), 0)</f>
      </c>
      <c r="F7" t="str">
        <f>MAX(E7, Keys!$C$5)</f>
      </c>
      <c r="G7" t="str">
        <f>B7/F7</f>
      </c>
      <c r="H7" t="str">
        <f>C7/F7</f>
      </c>
      <c r="I7" t="str">
        <f>D7/F7</f>
      </c>
      <c r="J7" t="str">
        <f>MAX(0, 1-G7-H7-I7)</f>
      </c>
    </row>
    <row r="8">
      <c r="A8" t="s">
        <v>196</v>
      </c>
      <c r="B8" t="str">
        <f>IFERROR(INDEX('6_Calc_Gov_ISIC'!$C$85:$C$109, MATCH($A8, '6_Calc_Gov_ISIC'!$A$85:$A$109, 0)), 0)</f>
      </c>
      <c r="C8" t="str">
        <f>IFERROR(INDEX('7_Calc_HH_ISIC'!$C$85:$C$109, MATCH($A8, '7_Calc_HH_ISIC'!$A$85:$A$109, 0)), 0)</f>
      </c>
      <c r="D8" t="str">
        <f>IFERROR(INDEX('8_Calc_Intl_ISIC'!$C$85:$C$109, MATCH($A8, '8_Calc_Intl_ISIC'!$A$85:$A$109, 0)), 0)</f>
      </c>
      <c r="E8" t="str">
        <f>IFERROR(INDEX('9_Calc_Total_ISIC'!$C$85:$C$109, MATCH($A8, '9_Calc_Total_ISIC'!$A$85:$A$109, 0)), 0)</f>
      </c>
      <c r="F8" t="str">
        <f>MAX(E8, Keys!$C$5)</f>
      </c>
      <c r="G8" t="str">
        <f>B8/F8</f>
      </c>
      <c r="H8" t="str">
        <f>C8/F8</f>
      </c>
      <c r="I8" t="str">
        <f>D8/F8</f>
      </c>
      <c r="J8" t="str">
        <f>MAX(0, 1-G8-H8-I8)</f>
      </c>
    </row>
    <row r="9">
      <c r="A9" t="s">
        <v>197</v>
      </c>
      <c r="B9" t="str">
        <f>IFERROR(INDEX('6_Calc_Gov_ISIC'!$C$85:$C$109, MATCH($A9, '6_Calc_Gov_ISIC'!$A$85:$A$109, 0)), 0)</f>
      </c>
      <c r="C9" t="str">
        <f>IFERROR(INDEX('7_Calc_HH_ISIC'!$C$85:$C$109, MATCH($A9, '7_Calc_HH_ISIC'!$A$85:$A$109, 0)), 0)</f>
      </c>
      <c r="D9" t="str">
        <f>IFERROR(INDEX('8_Calc_Intl_ISIC'!$C$85:$C$109, MATCH($A9, '8_Calc_Intl_ISIC'!$A$85:$A$109, 0)), 0)</f>
      </c>
      <c r="E9" t="str">
        <f>IFERROR(INDEX('9_Calc_Total_ISIC'!$C$85:$C$109, MATCH($A9, '9_Calc_Total_ISIC'!$A$85:$A$109, 0)), 0)</f>
      </c>
      <c r="F9" t="str">
        <f>MAX(E9, Keys!$C$5)</f>
      </c>
      <c r="G9" t="str">
        <f>B9/F9</f>
      </c>
      <c r="H9" t="str">
        <f>C9/F9</f>
      </c>
      <c r="I9" t="str">
        <f>D9/F9</f>
      </c>
      <c r="J9" t="str">
        <f>MAX(0, 1-G9-H9-I9)</f>
      </c>
    </row>
    <row r="10">
      <c r="A10" t="s">
        <v>198</v>
      </c>
      <c r="B10" t="str">
        <f>IFERROR(INDEX('6_Calc_Gov_ISIC'!$C$85:$C$109, MATCH($A10, '6_Calc_Gov_ISIC'!$A$85:$A$109, 0)), 0)</f>
      </c>
      <c r="C10" t="str">
        <f>IFERROR(INDEX('7_Calc_HH_ISIC'!$C$85:$C$109, MATCH($A10, '7_Calc_HH_ISIC'!$A$85:$A$109, 0)), 0)</f>
      </c>
      <c r="D10" t="str">
        <f>IFERROR(INDEX('8_Calc_Intl_ISIC'!$C$85:$C$109, MATCH($A10, '8_Calc_Intl_ISIC'!$A$85:$A$109, 0)), 0)</f>
      </c>
      <c r="E10" t="str">
        <f>IFERROR(INDEX('9_Calc_Total_ISIC'!$C$85:$C$109, MATCH($A10, '9_Calc_Total_ISIC'!$A$85:$A$109, 0)), 0)</f>
      </c>
      <c r="F10" t="str">
        <f>MAX(E10, Keys!$C$5)</f>
      </c>
      <c r="G10" t="str">
        <f>B10/F10</f>
      </c>
      <c r="H10" t="str">
        <f>C10/F10</f>
      </c>
      <c r="I10" t="str">
        <f>D10/F10</f>
      </c>
      <c r="J10" t="str">
        <f>MAX(0, 1-G10-H10-I10)</f>
      </c>
    </row>
    <row r="11">
      <c r="A11" t="s">
        <v>199</v>
      </c>
      <c r="B11" t="str">
        <f>IFERROR(INDEX('6_Calc_Gov_ISIC'!$C$85:$C$109, MATCH($A11, '6_Calc_Gov_ISIC'!$A$85:$A$109, 0)), 0)</f>
      </c>
      <c r="C11" t="str">
        <f>IFERROR(INDEX('7_Calc_HH_ISIC'!$C$85:$C$109, MATCH($A11, '7_Calc_HH_ISIC'!$A$85:$A$109, 0)), 0)</f>
      </c>
      <c r="D11" t="str">
        <f>IFERROR(INDEX('8_Calc_Intl_ISIC'!$C$85:$C$109, MATCH($A11, '8_Calc_Intl_ISIC'!$A$85:$A$109, 0)), 0)</f>
      </c>
      <c r="E11" t="str">
        <f>IFERROR(INDEX('9_Calc_Total_ISIC'!$C$85:$C$109, MATCH($A11, '9_Calc_Total_ISIC'!$A$85:$A$109, 0)), 0)</f>
      </c>
      <c r="F11" t="str">
        <f>MAX(E11, Keys!$C$5)</f>
      </c>
      <c r="G11" t="str">
        <f>B11/F11</f>
      </c>
      <c r="H11" t="str">
        <f>C11/F11</f>
      </c>
      <c r="I11" t="str">
        <f>D11/F11</f>
      </c>
      <c r="J11" t="str">
        <f>MAX(0, 1-G11-H11-I11)</f>
      </c>
    </row>
    <row r="12">
      <c r="A12" t="s">
        <v>200</v>
      </c>
      <c r="B12" t="str">
        <f>IFERROR(INDEX('6_Calc_Gov_ISIC'!$C$85:$C$109, MATCH($A12, '6_Calc_Gov_ISIC'!$A$85:$A$109, 0)), 0)</f>
      </c>
      <c r="C12" t="str">
        <f>IFERROR(INDEX('7_Calc_HH_ISIC'!$C$85:$C$109, MATCH($A12, '7_Calc_HH_ISIC'!$A$85:$A$109, 0)), 0)</f>
      </c>
      <c r="D12" t="str">
        <f>IFERROR(INDEX('8_Calc_Intl_ISIC'!$C$85:$C$109, MATCH($A12, '8_Calc_Intl_ISIC'!$A$85:$A$109, 0)), 0)</f>
      </c>
      <c r="E12" t="str">
        <f>IFERROR(INDEX('9_Calc_Total_ISIC'!$C$85:$C$109, MATCH($A12, '9_Calc_Total_ISIC'!$A$85:$A$109, 0)), 0)</f>
      </c>
      <c r="F12" t="str">
        <f>MAX(E12, Keys!$C$5)</f>
      </c>
      <c r="G12" t="str">
        <f>B12/F12</f>
      </c>
      <c r="H12" t="str">
        <f>C12/F12</f>
      </c>
      <c r="I12" t="str">
        <f>D12/F12</f>
      </c>
      <c r="J12" t="str">
        <f>MAX(0, 1-G12-H12-I12)</f>
      </c>
    </row>
    <row r="13">
      <c r="A13" t="s">
        <v>110</v>
      </c>
      <c r="B13" t="str">
        <f>IFERROR(INDEX('6_Calc_Gov_ISIC'!$C$85:$C$109, MATCH($A13, '6_Calc_Gov_ISIC'!$A$85:$A$109, 0)), 0)</f>
      </c>
      <c r="C13" t="str">
        <f>IFERROR(INDEX('7_Calc_HH_ISIC'!$C$85:$C$109, MATCH($A13, '7_Calc_HH_ISIC'!$A$85:$A$109, 0)), 0)</f>
      </c>
      <c r="D13" t="str">
        <f>IFERROR(INDEX('8_Calc_Intl_ISIC'!$C$85:$C$109, MATCH($A13, '8_Calc_Intl_ISIC'!$A$85:$A$109, 0)), 0)</f>
      </c>
      <c r="E13" t="str">
        <f>IFERROR(INDEX('9_Calc_Total_ISIC'!$C$85:$C$109, MATCH($A13, '9_Calc_Total_ISIC'!$A$85:$A$109, 0)), 0)</f>
      </c>
      <c r="F13" t="str">
        <f>MAX(E13, Keys!$C$5)</f>
      </c>
      <c r="G13" t="str">
        <f>B13/F13</f>
      </c>
      <c r="H13" t="str">
        <f>C13/F13</f>
      </c>
      <c r="I13" t="str">
        <f>D13/F13</f>
      </c>
      <c r="J13" t="str">
        <f>MAX(0, 1-G13-H13-I13)</f>
      </c>
    </row>
    <row r="14">
      <c r="A14" t="s">
        <v>202</v>
      </c>
      <c r="B14" t="str">
        <f>IFERROR(INDEX('6_Calc_Gov_ISIC'!$C$85:$C$109, MATCH($A14, '6_Calc_Gov_ISIC'!$A$85:$A$109, 0)), 0)</f>
      </c>
      <c r="C14" t="str">
        <f>IFERROR(INDEX('7_Calc_HH_ISIC'!$C$85:$C$109, MATCH($A14, '7_Calc_HH_ISIC'!$A$85:$A$109, 0)), 0)</f>
      </c>
      <c r="D14" t="str">
        <f>IFERROR(INDEX('8_Calc_Intl_ISIC'!$C$85:$C$109, MATCH($A14, '8_Calc_Intl_ISIC'!$A$85:$A$109, 0)), 0)</f>
      </c>
      <c r="E14" t="str">
        <f>IFERROR(INDEX('9_Calc_Total_ISIC'!$C$85:$C$109, MATCH($A14, '9_Calc_Total_ISIC'!$A$85:$A$109, 0)), 0)</f>
      </c>
      <c r="F14" t="str">
        <f>MAX(E14, Keys!$C$5)</f>
      </c>
      <c r="G14" t="str">
        <f>B14/F14</f>
      </c>
      <c r="H14" t="str">
        <f>C14/F14</f>
      </c>
      <c r="I14" t="str">
        <f>D14/F14</f>
      </c>
      <c r="J14" t="str">
        <f>MAX(0, 1-G14-H14-I14)</f>
      </c>
    </row>
    <row r="15">
      <c r="A15" t="s">
        <v>203</v>
      </c>
      <c r="B15" t="str">
        <f>IFERROR(INDEX('6_Calc_Gov_ISIC'!$C$85:$C$109, MATCH($A15, '6_Calc_Gov_ISIC'!$A$85:$A$109, 0)), 0)</f>
      </c>
      <c r="C15" t="str">
        <f>IFERROR(INDEX('7_Calc_HH_ISIC'!$C$85:$C$109, MATCH($A15, '7_Calc_HH_ISIC'!$A$85:$A$109, 0)), 0)</f>
      </c>
      <c r="D15" t="str">
        <f>IFERROR(INDEX('8_Calc_Intl_ISIC'!$C$85:$C$109, MATCH($A15, '8_Calc_Intl_ISIC'!$A$85:$A$109, 0)), 0)</f>
      </c>
      <c r="E15" t="str">
        <f>IFERROR(INDEX('9_Calc_Total_ISIC'!$C$85:$C$109, MATCH($A15, '9_Calc_Total_ISIC'!$A$85:$A$109, 0)), 0)</f>
      </c>
      <c r="F15" t="str">
        <f>MAX(E15, Keys!$C$5)</f>
      </c>
      <c r="G15" t="str">
        <f>B15/F15</f>
      </c>
      <c r="H15" t="str">
        <f>C15/F15</f>
      </c>
      <c r="I15" t="str">
        <f>D15/F15</f>
      </c>
      <c r="J15" t="str">
        <f>MAX(0, 1-G15-H15-I15)</f>
      </c>
    </row>
    <row r="16">
      <c r="A16" t="s">
        <v>204</v>
      </c>
      <c r="B16" t="str">
        <f>IFERROR(INDEX('6_Calc_Gov_ISIC'!$C$85:$C$109, MATCH($A16, '6_Calc_Gov_ISIC'!$A$85:$A$109, 0)), 0)</f>
      </c>
      <c r="C16" t="str">
        <f>IFERROR(INDEX('7_Calc_HH_ISIC'!$C$85:$C$109, MATCH($A16, '7_Calc_HH_ISIC'!$A$85:$A$109, 0)), 0)</f>
      </c>
      <c r="D16" t="str">
        <f>IFERROR(INDEX('8_Calc_Intl_ISIC'!$C$85:$C$109, MATCH($A16, '8_Calc_Intl_ISIC'!$A$85:$A$109, 0)), 0)</f>
      </c>
      <c r="E16" t="str">
        <f>IFERROR(INDEX('9_Calc_Total_ISIC'!$C$85:$C$109, MATCH($A16, '9_Calc_Total_ISIC'!$A$85:$A$109, 0)), 0)</f>
      </c>
      <c r="F16" t="str">
        <f>MAX(E16, Keys!$C$5)</f>
      </c>
      <c r="G16" t="str">
        <f>B16/F16</f>
      </c>
      <c r="H16" t="str">
        <f>C16/F16</f>
      </c>
      <c r="I16" t="str">
        <f>D16/F16</f>
      </c>
      <c r="J16" t="str">
        <f>MAX(0, 1-G16-H16-I16)</f>
      </c>
    </row>
    <row r="17">
      <c r="A17" t="s">
        <v>205</v>
      </c>
      <c r="B17" t="str">
        <f>IFERROR(INDEX('6_Calc_Gov_ISIC'!$C$85:$C$109, MATCH($A17, '6_Calc_Gov_ISIC'!$A$85:$A$109, 0)), 0)</f>
      </c>
      <c r="C17" t="str">
        <f>IFERROR(INDEX('7_Calc_HH_ISIC'!$C$85:$C$109, MATCH($A17, '7_Calc_HH_ISIC'!$A$85:$A$109, 0)), 0)</f>
      </c>
      <c r="D17" t="str">
        <f>IFERROR(INDEX('8_Calc_Intl_ISIC'!$C$85:$C$109, MATCH($A17, '8_Calc_Intl_ISIC'!$A$85:$A$109, 0)), 0)</f>
      </c>
      <c r="E17" t="str">
        <f>IFERROR(INDEX('9_Calc_Total_ISIC'!$C$85:$C$109, MATCH($A17, '9_Calc_Total_ISIC'!$A$85:$A$109, 0)), 0)</f>
      </c>
      <c r="F17" t="str">
        <f>MAX(E17, Keys!$C$5)</f>
      </c>
      <c r="G17" t="str">
        <f>B17/F17</f>
      </c>
      <c r="H17" t="str">
        <f>C17/F17</f>
      </c>
      <c r="I17" t="str">
        <f>D17/F17</f>
      </c>
      <c r="J17" t="str">
        <f>MAX(0, 1-G17-H17-I17)</f>
      </c>
    </row>
    <row r="18">
      <c r="A18" t="s">
        <v>206</v>
      </c>
      <c r="B18" t="str">
        <f>IFERROR(INDEX('6_Calc_Gov_ISIC'!$C$85:$C$109, MATCH($A18, '6_Calc_Gov_ISIC'!$A$85:$A$109, 0)), 0)</f>
      </c>
      <c r="C18" t="str">
        <f>IFERROR(INDEX('7_Calc_HH_ISIC'!$C$85:$C$109, MATCH($A18, '7_Calc_HH_ISIC'!$A$85:$A$109, 0)), 0)</f>
      </c>
      <c r="D18" t="str">
        <f>IFERROR(INDEX('8_Calc_Intl_ISIC'!$C$85:$C$109, MATCH($A18, '8_Calc_Intl_ISIC'!$A$85:$A$109, 0)), 0)</f>
      </c>
      <c r="E18" t="str">
        <f>IFERROR(INDEX('9_Calc_Total_ISIC'!$C$85:$C$109, MATCH($A18, '9_Calc_Total_ISIC'!$A$85:$A$109, 0)), 0)</f>
      </c>
      <c r="F18" t="str">
        <f>MAX(E18, Keys!$C$5)</f>
      </c>
      <c r="G18" t="str">
        <f>B18/F18</f>
      </c>
      <c r="H18" t="str">
        <f>C18/F18</f>
      </c>
      <c r="I18" t="str">
        <f>D18/F18</f>
      </c>
      <c r="J18" t="str">
        <f>MAX(0, 1-G18-H18-I18)</f>
      </c>
    </row>
    <row r="19">
      <c r="A19" t="s">
        <v>207</v>
      </c>
      <c r="B19" t="str">
        <f>IFERROR(INDEX('6_Calc_Gov_ISIC'!$C$85:$C$109, MATCH($A19, '6_Calc_Gov_ISIC'!$A$85:$A$109, 0)), 0)</f>
      </c>
      <c r="C19" t="str">
        <f>IFERROR(INDEX('7_Calc_HH_ISIC'!$C$85:$C$109, MATCH($A19, '7_Calc_HH_ISIC'!$A$85:$A$109, 0)), 0)</f>
      </c>
      <c r="D19" t="str">
        <f>IFERROR(INDEX('8_Calc_Intl_ISIC'!$C$85:$C$109, MATCH($A19, '8_Calc_Intl_ISIC'!$A$85:$A$109, 0)), 0)</f>
      </c>
      <c r="E19" t="str">
        <f>IFERROR(INDEX('9_Calc_Total_ISIC'!$C$85:$C$109, MATCH($A19, '9_Calc_Total_ISIC'!$A$85:$A$109, 0)), 0)</f>
      </c>
      <c r="F19" t="str">
        <f>MAX(E19, Keys!$C$5)</f>
      </c>
      <c r="G19" t="str">
        <f>B19/F19</f>
      </c>
      <c r="H19" t="str">
        <f>C19/F19</f>
      </c>
      <c r="I19" t="str">
        <f>D19/F19</f>
      </c>
      <c r="J19" t="str">
        <f>MAX(0, 1-G19-H19-I19)</f>
      </c>
    </row>
    <row r="20">
      <c r="A20" t="s">
        <v>208</v>
      </c>
      <c r="B20" t="str">
        <f>IFERROR(INDEX('6_Calc_Gov_ISIC'!$C$85:$C$109, MATCH($A20, '6_Calc_Gov_ISIC'!$A$85:$A$109, 0)), 0)</f>
      </c>
      <c r="C20" t="str">
        <f>IFERROR(INDEX('7_Calc_HH_ISIC'!$C$85:$C$109, MATCH($A20, '7_Calc_HH_ISIC'!$A$85:$A$109, 0)), 0)</f>
      </c>
      <c r="D20" t="str">
        <f>IFERROR(INDEX('8_Calc_Intl_ISIC'!$C$85:$C$109, MATCH($A20, '8_Calc_Intl_ISIC'!$A$85:$A$109, 0)), 0)</f>
      </c>
      <c r="E20" t="str">
        <f>IFERROR(INDEX('9_Calc_Total_ISIC'!$C$85:$C$109, MATCH($A20, '9_Calc_Total_ISIC'!$A$85:$A$109, 0)), 0)</f>
      </c>
      <c r="F20" t="str">
        <f>MAX(E20, Keys!$C$5)</f>
      </c>
      <c r="G20" t="str">
        <f>B20/F20</f>
      </c>
      <c r="H20" t="str">
        <f>C20/F20</f>
      </c>
      <c r="I20" t="str">
        <f>D20/F20</f>
      </c>
      <c r="J20" t="str">
        <f>MAX(0, 1-G20-H20-I20)</f>
      </c>
    </row>
    <row r="21">
      <c r="A21" t="s">
        <v>209</v>
      </c>
      <c r="B21" t="str">
        <f>IFERROR(INDEX('6_Calc_Gov_ISIC'!$C$85:$C$109, MATCH($A21, '6_Calc_Gov_ISIC'!$A$85:$A$109, 0)), 0)</f>
      </c>
      <c r="C21" t="str">
        <f>IFERROR(INDEX('7_Calc_HH_ISIC'!$C$85:$C$109, MATCH($A21, '7_Calc_HH_ISIC'!$A$85:$A$109, 0)), 0)</f>
      </c>
      <c r="D21" t="str">
        <f>IFERROR(INDEX('8_Calc_Intl_ISIC'!$C$85:$C$109, MATCH($A21, '8_Calc_Intl_ISIC'!$A$85:$A$109, 0)), 0)</f>
      </c>
      <c r="E21" t="str">
        <f>IFERROR(INDEX('9_Calc_Total_ISIC'!$C$85:$C$109, MATCH($A21, '9_Calc_Total_ISIC'!$A$85:$A$109, 0)), 0)</f>
      </c>
      <c r="F21" t="str">
        <f>MAX(E21, Keys!$C$5)</f>
      </c>
      <c r="G21" t="str">
        <f>B21/F21</f>
      </c>
      <c r="H21" t="str">
        <f>C21/F21</f>
      </c>
      <c r="I21" t="str">
        <f>D21/F21</f>
      </c>
      <c r="J21" t="str">
        <f>MAX(0, 1-G21-H21-I21)</f>
      </c>
    </row>
    <row r="22">
      <c r="A22" t="s">
        <v>210</v>
      </c>
      <c r="B22" t="str">
        <f>IFERROR(INDEX('6_Calc_Gov_ISIC'!$C$85:$C$109, MATCH($A22, '6_Calc_Gov_ISIC'!$A$85:$A$109, 0)), 0)</f>
      </c>
      <c r="C22" t="str">
        <f>IFERROR(INDEX('7_Calc_HH_ISIC'!$C$85:$C$109, MATCH($A22, '7_Calc_HH_ISIC'!$A$85:$A$109, 0)), 0)</f>
      </c>
      <c r="D22" t="str">
        <f>IFERROR(INDEX('8_Calc_Intl_ISIC'!$C$85:$C$109, MATCH($A22, '8_Calc_Intl_ISIC'!$A$85:$A$109, 0)), 0)</f>
      </c>
      <c r="E22" t="str">
        <f>IFERROR(INDEX('9_Calc_Total_ISIC'!$C$85:$C$109, MATCH($A22, '9_Calc_Total_ISIC'!$A$85:$A$109, 0)), 0)</f>
      </c>
      <c r="F22" t="str">
        <f>MAX(E22, Keys!$C$5)</f>
      </c>
      <c r="G22" t="str">
        <f>B22/F22</f>
      </c>
      <c r="H22" t="str">
        <f>C22/F22</f>
      </c>
      <c r="I22" t="str">
        <f>D22/F22</f>
      </c>
      <c r="J22" t="str">
        <f>MAX(0, 1-G22-H22-I22)</f>
      </c>
    </row>
    <row r="23">
      <c r="A23" t="s">
        <v>211</v>
      </c>
      <c r="B23" t="str">
        <f>IFERROR(INDEX('6_Calc_Gov_ISIC'!$C$85:$C$109, MATCH($A23, '6_Calc_Gov_ISIC'!$A$85:$A$109, 0)), 0)</f>
      </c>
      <c r="C23" t="str">
        <f>IFERROR(INDEX('7_Calc_HH_ISIC'!$C$85:$C$109, MATCH($A23, '7_Calc_HH_ISIC'!$A$85:$A$109, 0)), 0)</f>
      </c>
      <c r="D23" t="str">
        <f>IFERROR(INDEX('8_Calc_Intl_ISIC'!$C$85:$C$109, MATCH($A23, '8_Calc_Intl_ISIC'!$A$85:$A$109, 0)), 0)</f>
      </c>
      <c r="E23" t="str">
        <f>IFERROR(INDEX('9_Calc_Total_ISIC'!$C$85:$C$109, MATCH($A23, '9_Calc_Total_ISIC'!$A$85:$A$109, 0)), 0)</f>
      </c>
      <c r="F23" t="str">
        <f>MAX(E23, Keys!$C$5)</f>
      </c>
      <c r="G23" t="str">
        <f>B23/F23</f>
      </c>
      <c r="H23" t="str">
        <f>C23/F23</f>
      </c>
      <c r="I23" t="str">
        <f>D23/F23</f>
      </c>
      <c r="J23" t="str">
        <f>MAX(0, 1-G23-H23-I23)</f>
      </c>
    </row>
    <row r="24">
      <c r="A24" t="s">
        <v>212</v>
      </c>
      <c r="B24" t="str">
        <f>IFERROR(INDEX('6_Calc_Gov_ISIC'!$C$85:$C$109, MATCH($A24, '6_Calc_Gov_ISIC'!$A$85:$A$109, 0)), 0)</f>
      </c>
      <c r="C24" t="str">
        <f>IFERROR(INDEX('7_Calc_HH_ISIC'!$C$85:$C$109, MATCH($A24, '7_Calc_HH_ISIC'!$A$85:$A$109, 0)), 0)</f>
      </c>
      <c r="D24" t="str">
        <f>IFERROR(INDEX('8_Calc_Intl_ISIC'!$C$85:$C$109, MATCH($A24, '8_Calc_Intl_ISIC'!$A$85:$A$109, 0)), 0)</f>
      </c>
      <c r="E24" t="str">
        <f>IFERROR(INDEX('9_Calc_Total_ISIC'!$C$85:$C$109, MATCH($A24, '9_Calc_Total_ISIC'!$A$85:$A$109, 0)), 0)</f>
      </c>
      <c r="F24" t="str">
        <f>MAX(E24, Keys!$C$5)</f>
      </c>
      <c r="G24" t="str">
        <f>B24/F24</f>
      </c>
      <c r="H24" t="str">
        <f>C24/F24</f>
      </c>
      <c r="I24" t="str">
        <f>D24/F24</f>
      </c>
      <c r="J24" t="str">
        <f>MAX(0, 1-G24-H24-I24)</f>
      </c>
    </row>
    <row r="25">
      <c r="A25" t="s">
        <v>214</v>
      </c>
      <c r="B25" t="str">
        <f>IFERROR(INDEX('6_Calc_Gov_ISIC'!$C$85:$C$109, MATCH($A25, '6_Calc_Gov_ISIC'!$A$85:$A$109, 0)), 0)</f>
      </c>
      <c r="C25" t="str">
        <f>IFERROR(INDEX('7_Calc_HH_ISIC'!$C$85:$C$109, MATCH($A25, '7_Calc_HH_ISIC'!$A$85:$A$109, 0)), 0)</f>
      </c>
      <c r="D25" t="str">
        <f>IFERROR(INDEX('8_Calc_Intl_ISIC'!$C$85:$C$109, MATCH($A25, '8_Calc_Intl_ISIC'!$A$85:$A$109, 0)), 0)</f>
      </c>
      <c r="E25" t="str">
        <f>IFERROR(INDEX('9_Calc_Total_ISIC'!$C$85:$C$109, MATCH($A25, '9_Calc_Total_ISIC'!$A$85:$A$109, 0)), 0)</f>
      </c>
      <c r="F25" t="str">
        <f>MAX(E25, Keys!$C$5)</f>
      </c>
      <c r="G25" t="str">
        <f>B25/F25</f>
      </c>
      <c r="H25" t="str">
        <f>C25/F25</f>
      </c>
      <c r="I25" t="str">
        <f>D25/F25</f>
      </c>
      <c r="J25" t="str">
        <f>MAX(0, 1-G25-H25-I25)</f>
      </c>
    </row>
    <row r="26">
      <c r="A26" t="s">
        <v>215</v>
      </c>
      <c r="B26" t="str">
        <f>IFERROR(INDEX('6_Calc_Gov_ISIC'!$C$85:$C$109, MATCH($A26, '6_Calc_Gov_ISIC'!$A$85:$A$109, 0)), 0)</f>
      </c>
      <c r="C26" t="str">
        <f>IFERROR(INDEX('7_Calc_HH_ISIC'!$C$85:$C$109, MATCH($A26, '7_Calc_HH_ISIC'!$A$85:$A$109, 0)), 0)</f>
      </c>
      <c r="D26" t="str">
        <f>IFERROR(INDEX('8_Calc_Intl_ISIC'!$C$85:$C$109, MATCH($A26, '8_Calc_Intl_ISIC'!$A$85:$A$109, 0)), 0)</f>
      </c>
      <c r="E26" t="str">
        <f>IFERROR(INDEX('9_Calc_Total_ISIC'!$C$85:$C$109, MATCH($A26, '9_Calc_Total_ISIC'!$A$85:$A$109, 0)), 0)</f>
      </c>
      <c r="F26" t="str">
        <f>MAX(E26, Keys!$C$5)</f>
      </c>
      <c r="G26" t="str">
        <f>B26/F26</f>
      </c>
      <c r="H26" t="str">
        <f>C26/F26</f>
      </c>
      <c r="I26" t="str">
        <f>D26/F26</f>
      </c>
      <c r="J26" t="str">
        <f>MAX(0, 1-G26-H26-I26)</f>
      </c>
    </row>
    <row r="27">
      <c r="A27" t="s">
        <v>216</v>
      </c>
      <c r="B27" t="str">
        <f>IFERROR(INDEX('6_Calc_Gov_ISIC'!$C$85:$C$109, MATCH($A27, '6_Calc_Gov_ISIC'!$A$85:$A$109, 0)), 0)</f>
      </c>
      <c r="C27" t="str">
        <f>IFERROR(INDEX('7_Calc_HH_ISIC'!$C$85:$C$109, MATCH($A27, '7_Calc_HH_ISIC'!$A$85:$A$109, 0)), 0)</f>
      </c>
      <c r="D27" t="str">
        <f>IFERROR(INDEX('8_Calc_Intl_ISIC'!$C$85:$C$109, MATCH($A27, '8_Calc_Intl_ISIC'!$A$85:$A$109, 0)), 0)</f>
      </c>
      <c r="E27" t="str">
        <f>IFERROR(INDEX('9_Calc_Total_ISIC'!$C$85:$C$109, MATCH($A27, '9_Calc_Total_ISIC'!$A$85:$A$109, 0)), 0)</f>
      </c>
      <c r="F27" t="str">
        <f>MAX(E27, Keys!$C$5)</f>
      </c>
      <c r="G27" t="str">
        <f>B27/F27</f>
      </c>
      <c r="H27" t="str">
        <f>C27/F27</f>
      </c>
      <c r="I27" t="str">
        <f>D27/F27</f>
      </c>
      <c r="J27" t="str">
        <f>MAX(0, 1-G27-H27-I27)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t="s">
        <v>592</v>
      </c>
      <c r="B1" t="s">
        <v>593</v>
      </c>
      <c r="C1" t="s">
        <v>594</v>
      </c>
      <c r="D1" t="s">
        <v>595</v>
      </c>
      <c r="E1" t="s">
        <v>596</v>
      </c>
    </row>
    <row r="2">
      <c r="A2" t="s">
        <v>597</v>
      </c>
      <c r="B2" t="str">
        <f>'10_Calc_Entity_fractions'!G3</f>
      </c>
      <c r="C2" t="str">
        <f>'10_Calc_Entity_fractions'!J3</f>
      </c>
      <c r="D2" t="str">
        <f>'10_Calc_Entity_fractions'!H3</f>
      </c>
      <c r="E2" t="str">
        <f>'10_Calc_Entity_fractions'!I3</f>
      </c>
    </row>
    <row r="3">
      <c r="A3" t="s">
        <v>598</v>
      </c>
      <c r="B3" t="str">
        <f>'10_Calc_Entity_fractions'!G4</f>
      </c>
      <c r="C3" t="str">
        <f>'10_Calc_Entity_fractions'!J4</f>
      </c>
      <c r="D3" t="str">
        <f>'10_Calc_Entity_fractions'!H4</f>
      </c>
      <c r="E3" t="str">
        <f>'10_Calc_Entity_fractions'!I4</f>
      </c>
    </row>
    <row r="4">
      <c r="A4" t="s">
        <v>599</v>
      </c>
      <c r="B4" t="str">
        <f>'10_Calc_Entity_fractions'!G5</f>
      </c>
      <c r="C4" t="str">
        <f>'10_Calc_Entity_fractions'!J5</f>
      </c>
      <c r="D4" t="str">
        <f>'10_Calc_Entity_fractions'!H5</f>
      </c>
      <c r="E4" t="str">
        <f>'10_Calc_Entity_fractions'!I5</f>
      </c>
    </row>
    <row r="5">
      <c r="A5" t="s">
        <v>600</v>
      </c>
      <c r="B5" t="str">
        <f>'10_Calc_Entity_fractions'!G6</f>
      </c>
      <c r="C5" t="str">
        <f>'10_Calc_Entity_fractions'!J6</f>
      </c>
      <c r="D5" t="str">
        <f>'10_Calc_Entity_fractions'!H6</f>
      </c>
      <c r="E5" t="str">
        <f>'10_Calc_Entity_fractions'!I6</f>
      </c>
    </row>
    <row r="6">
      <c r="A6" t="s">
        <v>601</v>
      </c>
      <c r="B6" t="str">
        <f>'10_Calc_Entity_fractions'!G7</f>
      </c>
      <c r="C6" t="str">
        <f>'10_Calc_Entity_fractions'!J7</f>
      </c>
      <c r="D6" t="str">
        <f>'10_Calc_Entity_fractions'!H7</f>
      </c>
      <c r="E6" t="str">
        <f>'10_Calc_Entity_fractions'!I7</f>
      </c>
    </row>
    <row r="7">
      <c r="A7" t="s">
        <v>602</v>
      </c>
      <c r="B7" t="str">
        <f>'10_Calc_Entity_fractions'!G8</f>
      </c>
      <c r="C7" t="str">
        <f>'10_Calc_Entity_fractions'!J8</f>
      </c>
      <c r="D7" t="str">
        <f>'10_Calc_Entity_fractions'!H8</f>
      </c>
      <c r="E7" t="str">
        <f>'10_Calc_Entity_fractions'!I8</f>
      </c>
    </row>
    <row r="8">
      <c r="A8" t="s">
        <v>603</v>
      </c>
      <c r="B8" t="str">
        <f>'10_Calc_Entity_fractions'!G9</f>
      </c>
      <c r="C8" t="str">
        <f>'10_Calc_Entity_fractions'!J9</f>
      </c>
      <c r="D8" t="str">
        <f>'10_Calc_Entity_fractions'!H9</f>
      </c>
      <c r="E8" t="str">
        <f>'10_Calc_Entity_fractions'!I9</f>
      </c>
    </row>
    <row r="9">
      <c r="A9" t="s">
        <v>604</v>
      </c>
      <c r="B9" t="str">
        <f>'10_Calc_Entity_fractions'!G10</f>
      </c>
      <c r="C9" t="str">
        <f>'10_Calc_Entity_fractions'!J10</f>
      </c>
      <c r="D9" t="str">
        <f>'10_Calc_Entity_fractions'!H10</f>
      </c>
      <c r="E9" t="str">
        <f>'10_Calc_Entity_fractions'!I10</f>
      </c>
    </row>
    <row r="10">
      <c r="A10" t="s">
        <v>605</v>
      </c>
      <c r="B10" t="str">
        <f>'10_Calc_Entity_fractions'!G11</f>
      </c>
      <c r="C10" t="str">
        <f>'10_Calc_Entity_fractions'!J11</f>
      </c>
      <c r="D10" t="str">
        <f>'10_Calc_Entity_fractions'!H11</f>
      </c>
      <c r="E10" t="str">
        <f>'10_Calc_Entity_fractions'!I11</f>
      </c>
    </row>
    <row r="11">
      <c r="A11" t="s">
        <v>606</v>
      </c>
      <c r="B11" t="str">
        <f>'10_Calc_Entity_fractions'!G12</f>
      </c>
      <c r="C11" t="str">
        <f>'10_Calc_Entity_fractions'!J12</f>
      </c>
      <c r="D11" t="str">
        <f>'10_Calc_Entity_fractions'!H12</f>
      </c>
      <c r="E11" t="str">
        <f>'10_Calc_Entity_fractions'!I12</f>
      </c>
    </row>
    <row r="12">
      <c r="A12" t="s">
        <v>607</v>
      </c>
      <c r="B12" t="str">
        <f>'10_Calc_Entity_fractions'!G13</f>
      </c>
      <c r="C12" t="str">
        <f>'10_Calc_Entity_fractions'!J13</f>
      </c>
      <c r="D12" t="str">
        <f>'10_Calc_Entity_fractions'!H13</f>
      </c>
      <c r="E12" t="str">
        <f>'10_Calc_Entity_fractions'!I13</f>
      </c>
    </row>
    <row r="13">
      <c r="A13" t="s">
        <v>608</v>
      </c>
      <c r="B13" t="str">
        <f>'10_Calc_Entity_fractions'!G14</f>
      </c>
      <c r="C13" t="str">
        <f>'10_Calc_Entity_fractions'!J14</f>
      </c>
      <c r="D13" t="str">
        <f>'10_Calc_Entity_fractions'!H14</f>
      </c>
      <c r="E13" t="str">
        <f>'10_Calc_Entity_fractions'!I14</f>
      </c>
    </row>
    <row r="14">
      <c r="A14" t="s">
        <v>609</v>
      </c>
      <c r="B14" t="str">
        <f>'10_Calc_Entity_fractions'!G15</f>
      </c>
      <c r="C14" t="str">
        <f>'10_Calc_Entity_fractions'!J15</f>
      </c>
      <c r="D14" t="str">
        <f>'10_Calc_Entity_fractions'!H15</f>
      </c>
      <c r="E14" t="str">
        <f>'10_Calc_Entity_fractions'!I15</f>
      </c>
    </row>
    <row r="15">
      <c r="A15" t="s">
        <v>610</v>
      </c>
      <c r="B15" t="str">
        <f>'10_Calc_Entity_fractions'!G16</f>
      </c>
      <c r="C15" t="str">
        <f>'10_Calc_Entity_fractions'!J16</f>
      </c>
      <c r="D15" t="str">
        <f>'10_Calc_Entity_fractions'!H16</f>
      </c>
      <c r="E15" t="str">
        <f>'10_Calc_Entity_fractions'!I16</f>
      </c>
    </row>
    <row r="16">
      <c r="A16" t="s">
        <v>611</v>
      </c>
      <c r="B16" t="str">
        <f>'10_Calc_Entity_fractions'!G17</f>
      </c>
      <c r="C16" t="str">
        <f>'10_Calc_Entity_fractions'!J17</f>
      </c>
      <c r="D16" t="str">
        <f>'10_Calc_Entity_fractions'!H17</f>
      </c>
      <c r="E16" t="str">
        <f>'10_Calc_Entity_fractions'!I17</f>
      </c>
    </row>
    <row r="17">
      <c r="A17" t="s">
        <v>612</v>
      </c>
      <c r="B17" t="str">
        <f>'10_Calc_Entity_fractions'!G18</f>
      </c>
      <c r="C17" t="str">
        <f>'10_Calc_Entity_fractions'!J18</f>
      </c>
      <c r="D17" t="str">
        <f>'10_Calc_Entity_fractions'!H18</f>
      </c>
      <c r="E17" t="str">
        <f>'10_Calc_Entity_fractions'!I18</f>
      </c>
    </row>
    <row r="18">
      <c r="A18" t="s">
        <v>613</v>
      </c>
      <c r="B18" t="str">
        <f>'10_Calc_Entity_fractions'!G19</f>
      </c>
      <c r="C18" t="str">
        <f>'10_Calc_Entity_fractions'!J19</f>
      </c>
      <c r="D18" t="str">
        <f>'10_Calc_Entity_fractions'!H19</f>
      </c>
      <c r="E18" t="str">
        <f>'10_Calc_Entity_fractions'!I19</f>
      </c>
    </row>
    <row r="19">
      <c r="A19" t="s">
        <v>614</v>
      </c>
      <c r="B19" t="str">
        <f>'10_Calc_Entity_fractions'!G20</f>
      </c>
      <c r="C19" t="str">
        <f>'10_Calc_Entity_fractions'!J20</f>
      </c>
      <c r="D19" t="str">
        <f>'10_Calc_Entity_fractions'!H20</f>
      </c>
      <c r="E19" t="str">
        <f>'10_Calc_Entity_fractions'!I20</f>
      </c>
    </row>
    <row r="20">
      <c r="A20" t="s">
        <v>615</v>
      </c>
      <c r="B20" t="str">
        <f>'10_Calc_Entity_fractions'!G21</f>
      </c>
      <c r="C20" t="str">
        <f>'10_Calc_Entity_fractions'!J21</f>
      </c>
      <c r="D20" t="str">
        <f>'10_Calc_Entity_fractions'!H21</f>
      </c>
      <c r="E20" t="str">
        <f>'10_Calc_Entity_fractions'!I21</f>
      </c>
    </row>
    <row r="21">
      <c r="A21" t="s">
        <v>616</v>
      </c>
      <c r="B21" t="str">
        <f>'10_Calc_Entity_fractions'!G22</f>
      </c>
      <c r="C21" t="str">
        <f>'10_Calc_Entity_fractions'!J22</f>
      </c>
      <c r="D21" t="str">
        <f>'10_Calc_Entity_fractions'!H22</f>
      </c>
      <c r="E21" t="str">
        <f>'10_Calc_Entity_fractions'!I22</f>
      </c>
    </row>
    <row r="22">
      <c r="A22" t="s">
        <v>617</v>
      </c>
      <c r="B22" t="str">
        <f>'10_Calc_Entity_fractions'!G23</f>
      </c>
      <c r="C22" t="str">
        <f>'10_Calc_Entity_fractions'!J23</f>
      </c>
      <c r="D22" t="str">
        <f>'10_Calc_Entity_fractions'!H23</f>
      </c>
      <c r="E22" t="str">
        <f>'10_Calc_Entity_fractions'!I23</f>
      </c>
    </row>
    <row r="23">
      <c r="A23" t="s">
        <v>618</v>
      </c>
      <c r="B23" t="str">
        <f>'10_Calc_Entity_fractions'!G24</f>
      </c>
      <c r="C23" t="str">
        <f>'10_Calc_Entity_fractions'!J24</f>
      </c>
      <c r="D23" t="str">
        <f>'10_Calc_Entity_fractions'!H24</f>
      </c>
      <c r="E23" t="str">
        <f>'10_Calc_Entity_fractions'!I24</f>
      </c>
    </row>
    <row r="24">
      <c r="A24" t="s">
        <v>619</v>
      </c>
      <c r="B24" t="str">
        <f>'10_Calc_Entity_fractions'!G25</f>
      </c>
      <c r="C24" t="str">
        <f>'10_Calc_Entity_fractions'!J25</f>
      </c>
      <c r="D24" t="str">
        <f>'10_Calc_Entity_fractions'!H25</f>
      </c>
      <c r="E24" t="str">
        <f>'10_Calc_Entity_fractions'!I25</f>
      </c>
    </row>
    <row r="25">
      <c r="A25" t="s">
        <v>620</v>
      </c>
      <c r="B25" t="str">
        <f>'10_Calc_Entity_fractions'!G26</f>
      </c>
      <c r="C25" t="str">
        <f>'10_Calc_Entity_fractions'!J26</f>
      </c>
      <c r="D25" t="str">
        <f>'10_Calc_Entity_fractions'!H26</f>
      </c>
      <c r="E25" t="str">
        <f>'10_Calc_Entity_fractions'!I26</f>
      </c>
    </row>
    <row r="26">
      <c r="A26" t="s">
        <v>621</v>
      </c>
      <c r="B26" t="str">
        <f>'10_Calc_Entity_fractions'!G27</f>
      </c>
      <c r="C26" t="str">
        <f>'10_Calc_Entity_fractions'!J27</f>
      </c>
      <c r="D26" t="str">
        <f>'10_Calc_Entity_fractions'!H27</f>
      </c>
      <c r="E26" t="str">
        <f>'10_Calc_Entity_fractions'!I27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592</v>
      </c>
      <c r="B1" t="s">
        <v>622</v>
      </c>
      <c r="C1" t="s">
        <v>623</v>
      </c>
      <c r="D1" t="s">
        <v>624</v>
      </c>
      <c r="E1" t="s">
        <v>625</v>
      </c>
      <c r="F1" t="s">
        <v>626</v>
      </c>
      <c r="G1" t="s">
        <v>627</v>
      </c>
      <c r="H1" t="s">
        <v>628</v>
      </c>
      <c r="I1" t="s">
        <v>629</v>
      </c>
      <c r="J1" t="s">
        <v>630</v>
      </c>
      <c r="K1" t="s">
        <v>631</v>
      </c>
      <c r="L1" t="s">
        <v>632</v>
      </c>
      <c r="M1" t="s">
        <v>633</v>
      </c>
      <c r="N1" t="s">
        <v>634</v>
      </c>
      <c r="O1" t="s">
        <v>635</v>
      </c>
      <c r="P1" t="s">
        <v>636</v>
      </c>
      <c r="Q1" t="s">
        <v>637</v>
      </c>
      <c r="R1" t="s">
        <v>638</v>
      </c>
      <c r="S1" t="s">
        <v>639</v>
      </c>
      <c r="T1" t="s">
        <v>640</v>
      </c>
      <c r="U1" t="s">
        <v>641</v>
      </c>
      <c r="V1" t="s">
        <v>642</v>
      </c>
      <c r="W1" t="s">
        <v>643</v>
      </c>
      <c r="X1" t="s">
        <v>644</v>
      </c>
      <c r="Y1" t="s">
        <v>645</v>
      </c>
      <c r="Z1" t="s">
        <v>646</v>
      </c>
      <c r="AA1" t="s">
        <v>647</v>
      </c>
      <c r="AB1" t="s">
        <v>648</v>
      </c>
      <c r="AC1" t="s">
        <v>649</v>
      </c>
      <c r="AD1" t="s">
        <v>650</v>
      </c>
      <c r="AE1" t="s">
        <v>651</v>
      </c>
      <c r="AF1" t="s">
        <v>652</v>
      </c>
      <c r="AG1" t="s">
        <v>653</v>
      </c>
      <c r="AH1" t="s">
        <v>654</v>
      </c>
      <c r="AI1" t="s">
        <v>655</v>
      </c>
      <c r="AJ1" t="s">
        <v>656</v>
      </c>
      <c r="AK1" t="s">
        <v>657</v>
      </c>
      <c r="AL1" t="s">
        <v>658</v>
      </c>
      <c r="AM1" t="s">
        <v>659</v>
      </c>
      <c r="AN1" t="s">
        <v>660</v>
      </c>
      <c r="AO1" t="s">
        <v>661</v>
      </c>
      <c r="AP1" t="s">
        <v>662</v>
      </c>
      <c r="AQ1" t="s">
        <v>663</v>
      </c>
    </row>
    <row r="2">
      <c r="A2" t="s">
        <v>597</v>
      </c>
      <c r="B2" t="n">
        <v>0.41046386845272</v>
      </c>
      <c r="C2" t="n">
        <v>0.0000687153351277463</v>
      </c>
      <c r="D2" t="n">
        <v>0</v>
      </c>
      <c r="E2" t="n">
        <v>0.000213397390434217</v>
      </c>
      <c r="F2" t="n">
        <v>0.0000226381645141899</v>
      </c>
      <c r="G2" t="n">
        <v>0.371997922156791</v>
      </c>
      <c r="H2" t="n">
        <v>0.0079524432835088</v>
      </c>
      <c r="I2" t="n">
        <v>0.101402322365543</v>
      </c>
      <c r="J2" t="n">
        <v>0.0132449247330212</v>
      </c>
      <c r="K2" t="n">
        <v>0</v>
      </c>
      <c r="L2" t="n">
        <v>0.00977677482607011</v>
      </c>
      <c r="M2" t="n">
        <v>0.00108630831400779</v>
      </c>
      <c r="N2" t="n">
        <v>0.00832876340442268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0.00185341683328328</v>
      </c>
      <c r="Z2" t="n">
        <v>0</v>
      </c>
      <c r="AA2" t="n">
        <v>0</v>
      </c>
      <c r="AB2" t="n">
        <v>0</v>
      </c>
      <c r="AC2" t="n">
        <v>0.00161605332089474</v>
      </c>
      <c r="AD2" t="n">
        <v>0.0071006406370873</v>
      </c>
      <c r="AE2" t="n">
        <v>0.0000620411381152678</v>
      </c>
      <c r="AF2" t="n">
        <v>0.0329158017038532</v>
      </c>
      <c r="AG2" t="n">
        <v>0</v>
      </c>
      <c r="AH2" t="n">
        <v>0</v>
      </c>
      <c r="AI2" t="n">
        <v>0</v>
      </c>
      <c r="AJ2" t="n">
        <v>0.00000106191039525391</v>
      </c>
      <c r="AK2" t="n">
        <v>0.00000349207418514508</v>
      </c>
      <c r="AL2" t="n">
        <v>0.00329873622015724</v>
      </c>
      <c r="AM2" t="n">
        <v>0.0267149625293775</v>
      </c>
      <c r="AN2" t="n">
        <v>0.000281712210440919</v>
      </c>
      <c r="AO2" t="n">
        <v>0</v>
      </c>
      <c r="AP2" t="n">
        <v>0.00159400299604987</v>
      </c>
      <c r="AQ2" t="n">
        <v>0</v>
      </c>
    </row>
    <row r="3">
      <c r="A3" t="s">
        <v>598</v>
      </c>
      <c r="B3" t="n">
        <v>0.0265926849723568</v>
      </c>
      <c r="C3" t="n">
        <v>0.0182018885027316</v>
      </c>
      <c r="D3" t="n">
        <v>0.00025050905616795</v>
      </c>
      <c r="E3" t="n">
        <v>0.056526472587763</v>
      </c>
      <c r="F3" t="n">
        <v>0.00124886410041852</v>
      </c>
      <c r="G3" t="n">
        <v>0.0163938570699633</v>
      </c>
      <c r="H3" t="n">
        <v>0.00126477193865871</v>
      </c>
      <c r="I3" t="n">
        <v>0.000288684703643983</v>
      </c>
      <c r="J3" t="n">
        <v>0.0268877510108426</v>
      </c>
      <c r="K3" t="n">
        <v>0.0905490303766546</v>
      </c>
      <c r="L3" t="n">
        <v>0.0343216123341949</v>
      </c>
      <c r="M3" t="n">
        <v>0.00381351248157721</v>
      </c>
      <c r="N3" t="n">
        <v>0.00204298459444779</v>
      </c>
      <c r="O3" t="n">
        <v>0.0304531908547524</v>
      </c>
      <c r="P3" t="n">
        <v>0.0913595725642572</v>
      </c>
      <c r="Q3" t="n">
        <v>0.146000448068031</v>
      </c>
      <c r="R3" t="n">
        <v>0.0474419071830345</v>
      </c>
      <c r="S3" t="n">
        <v>0.00474324104437012</v>
      </c>
      <c r="T3" t="n">
        <v>0.00000972841229920902</v>
      </c>
      <c r="U3" t="n">
        <v>0.00311621647822903</v>
      </c>
      <c r="V3" t="n">
        <v>0.0021529267242478</v>
      </c>
      <c r="W3" t="n">
        <v>0.00265954353341748</v>
      </c>
      <c r="X3" t="n">
        <v>0.00147810363186017</v>
      </c>
      <c r="Y3" t="n">
        <v>0.0013227898628607</v>
      </c>
      <c r="Z3" t="n">
        <v>0.0688185667445237</v>
      </c>
      <c r="AA3" t="n">
        <v>0.0191162685401455</v>
      </c>
      <c r="AB3" t="n">
        <v>0.00814027714244154</v>
      </c>
      <c r="AC3" t="n">
        <v>0.117208568990387</v>
      </c>
      <c r="AD3" t="n">
        <v>0.000296909108696437</v>
      </c>
      <c r="AE3" t="n">
        <v>0.00205428639777532</v>
      </c>
      <c r="AF3" t="n">
        <v>0.0098818706716214</v>
      </c>
      <c r="AG3" t="n">
        <v>0.000529821556690235</v>
      </c>
      <c r="AH3" t="n">
        <v>0.00143725684860186</v>
      </c>
      <c r="AI3" t="n">
        <v>0.000798241328595836</v>
      </c>
      <c r="AJ3" t="n">
        <v>0</v>
      </c>
      <c r="AK3" t="n">
        <v>0.0000409992012764151</v>
      </c>
      <c r="AL3" t="n">
        <v>0.0129407008553248</v>
      </c>
      <c r="AM3" t="n">
        <v>0.127844215750525</v>
      </c>
      <c r="AN3" t="n">
        <v>0.00228535942165661</v>
      </c>
      <c r="AO3" t="n">
        <v>0.00196969386576695</v>
      </c>
      <c r="AP3" t="n">
        <v>0.0175166714891903</v>
      </c>
      <c r="AQ3" t="n">
        <v>0</v>
      </c>
    </row>
    <row r="4">
      <c r="A4" t="s">
        <v>599</v>
      </c>
      <c r="B4" t="n">
        <v>0</v>
      </c>
      <c r="C4" t="n">
        <v>0</v>
      </c>
      <c r="D4" t="n">
        <v>0.00198001665075611</v>
      </c>
      <c r="E4" t="n">
        <v>0</v>
      </c>
      <c r="F4" t="n">
        <v>0.00000610465348665119</v>
      </c>
      <c r="G4" t="n">
        <v>0.0000000390085060494823</v>
      </c>
      <c r="H4" t="n">
        <v>0</v>
      </c>
      <c r="I4" t="n">
        <v>0.00000965674269375492</v>
      </c>
      <c r="J4" t="n">
        <v>0.00000503105305181556</v>
      </c>
      <c r="K4" t="n">
        <v>0.948241718516104</v>
      </c>
      <c r="L4" t="n">
        <v>0.000304555463330423</v>
      </c>
      <c r="M4" t="n">
        <v>0.0000338394959256025</v>
      </c>
      <c r="N4" t="n">
        <v>0</v>
      </c>
      <c r="O4" t="n">
        <v>0.00000001101052244558</v>
      </c>
      <c r="P4" t="n">
        <v>0.0000000330315673367399</v>
      </c>
      <c r="Q4" t="n">
        <v>0.0384824009586036</v>
      </c>
      <c r="R4" t="n">
        <v>0.0000000556014880355266</v>
      </c>
      <c r="S4" t="n">
        <v>0</v>
      </c>
      <c r="T4" t="n">
        <v>0</v>
      </c>
      <c r="U4" t="n">
        <v>0</v>
      </c>
      <c r="V4" t="n">
        <v>0</v>
      </c>
      <c r="W4" t="n">
        <v>0.0000000828564990360974</v>
      </c>
      <c r="X4" t="n">
        <v>0</v>
      </c>
      <c r="Y4" t="n">
        <v>0</v>
      </c>
      <c r="Z4" t="n">
        <v>0.0051359754508375</v>
      </c>
      <c r="AA4" t="n">
        <v>0.00143166883252294</v>
      </c>
      <c r="AB4" t="n">
        <v>0.000573285026766911</v>
      </c>
      <c r="AC4" t="n">
        <v>0</v>
      </c>
      <c r="AD4" t="n">
        <v>0.0000119518202392447</v>
      </c>
      <c r="AE4" t="n">
        <v>0.000128250849036525</v>
      </c>
      <c r="AF4" t="n">
        <v>0.000000104665631253151</v>
      </c>
      <c r="AG4" t="n">
        <v>0.0000108088816266059</v>
      </c>
      <c r="AH4" t="n">
        <v>0.00000135445315152161</v>
      </c>
      <c r="AI4" t="n">
        <v>0.00000116391201690955</v>
      </c>
      <c r="AJ4" t="n">
        <v>0</v>
      </c>
      <c r="AK4" t="n">
        <v>0.000012537702437448</v>
      </c>
      <c r="AL4" t="n">
        <v>0.00000252515064689298</v>
      </c>
      <c r="AM4" t="n">
        <v>0.00350260651375463</v>
      </c>
      <c r="AN4" t="n">
        <v>0.000102094059708898</v>
      </c>
      <c r="AO4" t="n">
        <v>0.0000000875423370772916</v>
      </c>
      <c r="AP4" t="n">
        <v>0.0000220400967510571</v>
      </c>
      <c r="AQ4" t="n">
        <v>0</v>
      </c>
    </row>
    <row r="5">
      <c r="A5" t="s">
        <v>600</v>
      </c>
      <c r="B5" t="n">
        <v>0.0265926849723568</v>
      </c>
      <c r="C5" t="n">
        <v>0.0182018885027316</v>
      </c>
      <c r="D5" t="n">
        <v>0.00025050905616795</v>
      </c>
      <c r="E5" t="n">
        <v>0.056526472587763</v>
      </c>
      <c r="F5" t="n">
        <v>0.00124886410041852</v>
      </c>
      <c r="G5" t="n">
        <v>0.0163938570699633</v>
      </c>
      <c r="H5" t="n">
        <v>0.00126477193865871</v>
      </c>
      <c r="I5" t="n">
        <v>0.000288684703643983</v>
      </c>
      <c r="J5" t="n">
        <v>0.0268877510108426</v>
      </c>
      <c r="K5" t="n">
        <v>0.0905490303766546</v>
      </c>
      <c r="L5" t="n">
        <v>0.0343216123341949</v>
      </c>
      <c r="M5" t="n">
        <v>0.00381351248157721</v>
      </c>
      <c r="N5" t="n">
        <v>0.00204298459444779</v>
      </c>
      <c r="O5" t="n">
        <v>0.0304531908547524</v>
      </c>
      <c r="P5" t="n">
        <v>0.0913595725642572</v>
      </c>
      <c r="Q5" t="n">
        <v>0.146000448068031</v>
      </c>
      <c r="R5" t="n">
        <v>0.0474419071830345</v>
      </c>
      <c r="S5" t="n">
        <v>0.00474324104437012</v>
      </c>
      <c r="T5" t="n">
        <v>0.00000972841229920902</v>
      </c>
      <c r="U5" t="n">
        <v>0.00311621647822903</v>
      </c>
      <c r="V5" t="n">
        <v>0.0021529267242478</v>
      </c>
      <c r="W5" t="n">
        <v>0.00265954353341748</v>
      </c>
      <c r="X5" t="n">
        <v>0.00147810363186017</v>
      </c>
      <c r="Y5" t="n">
        <v>0.0013227898628607</v>
      </c>
      <c r="Z5" t="n">
        <v>0.0688185667445237</v>
      </c>
      <c r="AA5" t="n">
        <v>0.0191162685401455</v>
      </c>
      <c r="AB5" t="n">
        <v>0.00814027714244154</v>
      </c>
      <c r="AC5" t="n">
        <v>0.117208568990387</v>
      </c>
      <c r="AD5" t="n">
        <v>0.000296909108696437</v>
      </c>
      <c r="AE5" t="n">
        <v>0.00205428639777532</v>
      </c>
      <c r="AF5" t="n">
        <v>0.0098818706716214</v>
      </c>
      <c r="AG5" t="n">
        <v>0.000529821556690235</v>
      </c>
      <c r="AH5" t="n">
        <v>0.00143725684860186</v>
      </c>
      <c r="AI5" t="n">
        <v>0.000798241328595836</v>
      </c>
      <c r="AJ5" t="n">
        <v>0</v>
      </c>
      <c r="AK5" t="n">
        <v>0.0000409992012764151</v>
      </c>
      <c r="AL5" t="n">
        <v>0.0129407008553248</v>
      </c>
      <c r="AM5" t="n">
        <v>0.127844215750525</v>
      </c>
      <c r="AN5" t="n">
        <v>0.00228535942165661</v>
      </c>
      <c r="AO5" t="n">
        <v>0.00196969386576695</v>
      </c>
      <c r="AP5" t="n">
        <v>0.0175166714891903</v>
      </c>
      <c r="AQ5" t="n">
        <v>0</v>
      </c>
    </row>
    <row r="6">
      <c r="A6" t="s">
        <v>601</v>
      </c>
      <c r="B6" t="n">
        <v>0.113200845868216</v>
      </c>
      <c r="C6" t="n">
        <v>0</v>
      </c>
      <c r="D6" t="n">
        <v>0</v>
      </c>
      <c r="E6" t="n">
        <v>0</v>
      </c>
      <c r="F6" t="n">
        <v>0</v>
      </c>
      <c r="G6" t="n">
        <v>0.383375087961773</v>
      </c>
      <c r="H6" t="n">
        <v>0.000660568123502474</v>
      </c>
      <c r="I6" t="n">
        <v>0.00015433674016626</v>
      </c>
      <c r="J6" t="n">
        <v>0.00175941028386575</v>
      </c>
      <c r="K6" t="n">
        <v>0.00335229214179772</v>
      </c>
      <c r="L6" t="n">
        <v>0.00540903036519196</v>
      </c>
      <c r="M6" t="n">
        <v>0.000601003373910218</v>
      </c>
      <c r="N6" t="n">
        <v>0.000817852863179768</v>
      </c>
      <c r="O6" t="n">
        <v>0.000293808958573863</v>
      </c>
      <c r="P6" t="n">
        <v>0.000881426875721589</v>
      </c>
      <c r="Q6" t="n">
        <v>0.000150127361656858</v>
      </c>
      <c r="R6" t="n">
        <v>0.00000469406903299668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0.00000486212978424183</v>
      </c>
      <c r="Z6" t="n">
        <v>0</v>
      </c>
      <c r="AA6" t="n">
        <v>0</v>
      </c>
      <c r="AB6" t="n">
        <v>0</v>
      </c>
      <c r="AC6" t="n">
        <v>0</v>
      </c>
      <c r="AD6" t="n">
        <v>0.0175088728214672</v>
      </c>
      <c r="AE6" t="n">
        <v>0.0023114116873424</v>
      </c>
      <c r="AF6" t="n">
        <v>0.19992546622936</v>
      </c>
      <c r="AG6" t="n">
        <v>0.0000175028104685775</v>
      </c>
      <c r="AH6" t="n">
        <v>0</v>
      </c>
      <c r="AI6" t="n">
        <v>0.0000449700277771027</v>
      </c>
      <c r="AJ6" t="n">
        <v>0</v>
      </c>
      <c r="AK6" t="n">
        <v>0</v>
      </c>
      <c r="AL6" t="n">
        <v>0.00384490924255288</v>
      </c>
      <c r="AM6" t="n">
        <v>0.186705125295119</v>
      </c>
      <c r="AN6" t="n">
        <v>0.00667655022170348</v>
      </c>
      <c r="AO6" t="n">
        <v>0.0592472770322561</v>
      </c>
      <c r="AP6" t="n">
        <v>0.0130525675155804</v>
      </c>
      <c r="AQ6" t="n">
        <v>0</v>
      </c>
    </row>
    <row r="7">
      <c r="A7" t="s">
        <v>602</v>
      </c>
      <c r="B7" t="n">
        <v>0.00304919851798375</v>
      </c>
      <c r="C7" t="n">
        <v>0.00000415513664905792</v>
      </c>
      <c r="D7" t="n">
        <v>0</v>
      </c>
      <c r="E7" t="n">
        <v>0.0000129038927942083</v>
      </c>
      <c r="F7" t="n">
        <v>0</v>
      </c>
      <c r="G7" t="n">
        <v>0.00196821467026263</v>
      </c>
      <c r="H7" t="n">
        <v>0.221390988988426</v>
      </c>
      <c r="I7" t="n">
        <v>0.0110567425607351</v>
      </c>
      <c r="J7" t="n">
        <v>0.0434318549726238</v>
      </c>
      <c r="K7" t="n">
        <v>0.000765765449205461</v>
      </c>
      <c r="L7" t="n">
        <v>0.00000846964780230763</v>
      </c>
      <c r="M7" t="n">
        <v>0.000000941071978034181</v>
      </c>
      <c r="N7" t="n">
        <v>0.040839659546674</v>
      </c>
      <c r="O7" t="n">
        <v>0.000532601630290481</v>
      </c>
      <c r="P7" t="n">
        <v>0.00159780489087144</v>
      </c>
      <c r="Q7" t="n">
        <v>0.0000310768496555806</v>
      </c>
      <c r="R7" t="n">
        <v>0</v>
      </c>
      <c r="S7" t="n">
        <v>0.00000242483209930744</v>
      </c>
      <c r="T7" t="n">
        <v>0.000000433078851655559</v>
      </c>
      <c r="U7" t="n">
        <v>0</v>
      </c>
      <c r="V7" t="n">
        <v>0.00418206858715377</v>
      </c>
      <c r="W7" t="n">
        <v>0.0652176833661864</v>
      </c>
      <c r="X7" t="n">
        <v>0.0109701026948024</v>
      </c>
      <c r="Y7" t="n">
        <v>0.155118362703117</v>
      </c>
      <c r="Z7" t="n">
        <v>0</v>
      </c>
      <c r="AA7" t="n">
        <v>0.000015734450328199</v>
      </c>
      <c r="AB7" t="n">
        <v>0.00248366009807701</v>
      </c>
      <c r="AC7" t="n">
        <v>0.00699726365027398</v>
      </c>
      <c r="AD7" t="n">
        <v>0.145853274941152</v>
      </c>
      <c r="AE7" t="n">
        <v>0.00088850275927531</v>
      </c>
      <c r="AF7" t="n">
        <v>0.0528667177924534</v>
      </c>
      <c r="AG7" t="n">
        <v>0.0031619439694252</v>
      </c>
      <c r="AH7" t="n">
        <v>0.00806452965843864</v>
      </c>
      <c r="AI7" t="n">
        <v>0.00000144945387214558</v>
      </c>
      <c r="AJ7" t="n">
        <v>0</v>
      </c>
      <c r="AK7" t="n">
        <v>0.000287021560521829</v>
      </c>
      <c r="AL7" t="n">
        <v>0.00609296440644023</v>
      </c>
      <c r="AM7" t="n">
        <v>0.111902074518623</v>
      </c>
      <c r="AN7" t="n">
        <v>0.00057733700404529</v>
      </c>
      <c r="AO7" t="n">
        <v>0.0701300774295622</v>
      </c>
      <c r="AP7" t="n">
        <v>0.0304959952193484</v>
      </c>
      <c r="AQ7" t="n">
        <v>0</v>
      </c>
    </row>
    <row r="8">
      <c r="A8" t="s">
        <v>603</v>
      </c>
      <c r="B8" t="n">
        <v>0.00577923504789063</v>
      </c>
      <c r="C8" t="n">
        <v>0.000198132275179573</v>
      </c>
      <c r="D8" t="n">
        <v>0</v>
      </c>
      <c r="E8" t="n">
        <v>0.000615305308567762</v>
      </c>
      <c r="F8" t="n">
        <v>0.00109282156682428</v>
      </c>
      <c r="G8" t="n">
        <v>0.0018056501886781</v>
      </c>
      <c r="H8" t="n">
        <v>0.00104479919667869</v>
      </c>
      <c r="I8" t="n">
        <v>0.427997654484815</v>
      </c>
      <c r="J8" t="n">
        <v>0.0381460586214165</v>
      </c>
      <c r="K8" t="n">
        <v>0</v>
      </c>
      <c r="L8" t="n">
        <v>0.00055937615976758</v>
      </c>
      <c r="M8" t="n">
        <v>0.0000621529066408422</v>
      </c>
      <c r="N8" t="n">
        <v>0.0155281714740544</v>
      </c>
      <c r="O8" t="n">
        <v>0.000241087408202486</v>
      </c>
      <c r="P8" t="n">
        <v>0.000723262224607459</v>
      </c>
      <c r="Q8" t="n">
        <v>0.00285038971779115</v>
      </c>
      <c r="R8" t="n">
        <v>0.000950129905930384</v>
      </c>
      <c r="S8" t="n">
        <v>0.000843361072448272</v>
      </c>
      <c r="T8" t="n">
        <v>0.000103961355958351</v>
      </c>
      <c r="U8" t="n">
        <v>0.00606220647416185</v>
      </c>
      <c r="V8" t="n">
        <v>0.00628880550199529</v>
      </c>
      <c r="W8" t="n">
        <v>0.0311857718622422</v>
      </c>
      <c r="X8" t="n">
        <v>0.0014372556461684</v>
      </c>
      <c r="Y8" t="n">
        <v>0.184581247940448</v>
      </c>
      <c r="Z8" t="n">
        <v>0.0000279985423832712</v>
      </c>
      <c r="AA8" t="n">
        <v>0.0000601543786740877</v>
      </c>
      <c r="AB8" t="n">
        <v>0.000160067897703652</v>
      </c>
      <c r="AC8" t="n">
        <v>0.147853410958662</v>
      </c>
      <c r="AD8" t="n">
        <v>0.0343276572739584</v>
      </c>
      <c r="AE8" t="n">
        <v>0.0198821469119736</v>
      </c>
      <c r="AF8" t="n">
        <v>0.0125203839433659</v>
      </c>
      <c r="AG8" t="n">
        <v>0.000696223895639049</v>
      </c>
      <c r="AH8" t="n">
        <v>0.00185074070548816</v>
      </c>
      <c r="AI8" t="n">
        <v>0.000646342801726106</v>
      </c>
      <c r="AJ8" t="n">
        <v>0.000950308685375274</v>
      </c>
      <c r="AK8" t="n">
        <v>0.0165823188248905</v>
      </c>
      <c r="AL8" t="n">
        <v>0.00678116114554914</v>
      </c>
      <c r="AM8" t="n">
        <v>0.0197459238682756</v>
      </c>
      <c r="AN8" t="n">
        <v>0.000103147600189844</v>
      </c>
      <c r="AO8" t="n">
        <v>0.00717548965738871</v>
      </c>
      <c r="AP8" t="n">
        <v>0.00253968656828879</v>
      </c>
      <c r="AQ8" t="n">
        <v>0</v>
      </c>
    </row>
    <row r="9">
      <c r="A9" t="s">
        <v>604</v>
      </c>
      <c r="B9" t="n">
        <v>0.00459944685766586</v>
      </c>
      <c r="C9" t="n">
        <v>0.000151004583890886</v>
      </c>
      <c r="D9" t="n">
        <v>0.0000934991037592683</v>
      </c>
      <c r="E9" t="n">
        <v>0.000468948948382677</v>
      </c>
      <c r="F9" t="n">
        <v>0.000214230233474579</v>
      </c>
      <c r="G9" t="n">
        <v>0.0879201588541297</v>
      </c>
      <c r="H9" t="n">
        <v>0.00382625621231442</v>
      </c>
      <c r="I9" t="n">
        <v>0.0106207710008216</v>
      </c>
      <c r="J9" t="n">
        <v>0.348404346805882</v>
      </c>
      <c r="K9" t="n">
        <v>0.0036659373559877</v>
      </c>
      <c r="L9" t="n">
        <v>0.00889580221017231</v>
      </c>
      <c r="M9" t="n">
        <v>0.000988422467796923</v>
      </c>
      <c r="N9" t="n">
        <v>0.0238469250898283</v>
      </c>
      <c r="O9" t="n">
        <v>0.0013022423729937</v>
      </c>
      <c r="P9" t="n">
        <v>0.00390672711898111</v>
      </c>
      <c r="Q9" t="n">
        <v>0.00562066496020863</v>
      </c>
      <c r="R9" t="n">
        <v>0.00182396374258653</v>
      </c>
      <c r="S9" t="n">
        <v>0.00521404925341915</v>
      </c>
      <c r="T9" t="n">
        <v>0.000146909608634467</v>
      </c>
      <c r="U9" t="n">
        <v>0.0075819180906978</v>
      </c>
      <c r="V9" t="n">
        <v>0.00904310171035225</v>
      </c>
      <c r="W9" t="n">
        <v>0.0300189886769652</v>
      </c>
      <c r="X9" t="n">
        <v>0.00203675467810975</v>
      </c>
      <c r="Y9" t="n">
        <v>0.0241646497183419</v>
      </c>
      <c r="Z9" t="n">
        <v>0.000131159524437336</v>
      </c>
      <c r="AA9" t="n">
        <v>0.00030751828334607</v>
      </c>
      <c r="AB9" t="n">
        <v>0.00122076378223013</v>
      </c>
      <c r="AC9" t="n">
        <v>0.00717087302869028</v>
      </c>
      <c r="AD9" t="n">
        <v>0.0935369426008114</v>
      </c>
      <c r="AE9" t="n">
        <v>0.0132533812712846</v>
      </c>
      <c r="AF9" t="n">
        <v>0.0485864093856195</v>
      </c>
      <c r="AG9" t="n">
        <v>0.00458970254259513</v>
      </c>
      <c r="AH9" t="n">
        <v>0.00165992046626996</v>
      </c>
      <c r="AI9" t="n">
        <v>0.00261478032796453</v>
      </c>
      <c r="AJ9" t="n">
        <v>0.018358118721804</v>
      </c>
      <c r="AK9" t="n">
        <v>0.00173206365203262</v>
      </c>
      <c r="AL9" t="n">
        <v>0.0445154700921838</v>
      </c>
      <c r="AM9" t="n">
        <v>0.123925563759153</v>
      </c>
      <c r="AN9" t="n">
        <v>0.00200276994609281</v>
      </c>
      <c r="AO9" t="n">
        <v>0.0422190419357437</v>
      </c>
      <c r="AP9" t="n">
        <v>0.00961980102434403</v>
      </c>
      <c r="AQ9" t="n">
        <v>0</v>
      </c>
    </row>
    <row r="10">
      <c r="A10" t="s">
        <v>605</v>
      </c>
      <c r="B10" t="n">
        <v>0.0503496239541387</v>
      </c>
      <c r="C10" t="n">
        <v>0.00224317395690351</v>
      </c>
      <c r="D10" t="n">
        <v>0.00317440177853323</v>
      </c>
      <c r="E10" t="n">
        <v>0.00696623930893001</v>
      </c>
      <c r="F10" t="n">
        <v>0.00443731003229122</v>
      </c>
      <c r="G10" t="n">
        <v>0.0053737200844411</v>
      </c>
      <c r="H10" t="n">
        <v>0.000564567543536298</v>
      </c>
      <c r="I10" t="n">
        <v>0.00677255701161064</v>
      </c>
      <c r="J10" t="n">
        <v>0.00926157479028101</v>
      </c>
      <c r="K10" t="n">
        <v>0.136841214797434</v>
      </c>
      <c r="L10" t="n">
        <v>0.0132908331899407</v>
      </c>
      <c r="M10" t="n">
        <v>0.00147675924332675</v>
      </c>
      <c r="N10" t="n">
        <v>0.00253248196102359</v>
      </c>
      <c r="O10" t="n">
        <v>0.000339384935285902</v>
      </c>
      <c r="P10" t="n">
        <v>0.00101815480585771</v>
      </c>
      <c r="Q10" t="n">
        <v>0.00957315388066394</v>
      </c>
      <c r="R10" t="n">
        <v>0.00133992143677354</v>
      </c>
      <c r="S10" t="n">
        <v>0.00364093319734554</v>
      </c>
      <c r="T10" t="n">
        <v>0.0000312598666318477</v>
      </c>
      <c r="U10" t="n">
        <v>0.00227018240400447</v>
      </c>
      <c r="V10" t="n">
        <v>0.00368807010019829</v>
      </c>
      <c r="W10" t="n">
        <v>0.00184963018801843</v>
      </c>
      <c r="X10" t="n">
        <v>0.000596721000282148</v>
      </c>
      <c r="Y10" t="n">
        <v>0.00310200947379627</v>
      </c>
      <c r="Z10" t="n">
        <v>0.0588253571055798</v>
      </c>
      <c r="AA10" t="n">
        <v>0.016744062435705</v>
      </c>
      <c r="AB10" t="n">
        <v>0.00985625574442035</v>
      </c>
      <c r="AC10" t="n">
        <v>0.0509411232111691</v>
      </c>
      <c r="AD10" t="n">
        <v>0.0159857094500066</v>
      </c>
      <c r="AE10" t="n">
        <v>0.166327563625121</v>
      </c>
      <c r="AF10" t="n">
        <v>0.0121889209478522</v>
      </c>
      <c r="AG10" t="n">
        <v>0.000396495312660747</v>
      </c>
      <c r="AH10" t="n">
        <v>0.000632555648895298</v>
      </c>
      <c r="AI10" t="n">
        <v>0.000706777628889143</v>
      </c>
      <c r="AJ10" t="n">
        <v>0.00814909413962503</v>
      </c>
      <c r="AK10" t="n">
        <v>0.00477261920569197</v>
      </c>
      <c r="AL10" t="n">
        <v>0.0127418243611219</v>
      </c>
      <c r="AM10" t="n">
        <v>0.354919536490097</v>
      </c>
      <c r="AN10" t="n">
        <v>0.00158399619502921</v>
      </c>
      <c r="AO10" t="n">
        <v>0.00771455983425546</v>
      </c>
      <c r="AP10" t="n">
        <v>0.00677966972263135</v>
      </c>
      <c r="AQ10" t="n">
        <v>0</v>
      </c>
    </row>
    <row r="11">
      <c r="A11" t="s">
        <v>606</v>
      </c>
      <c r="B11" t="n">
        <v>0.0657611447770183</v>
      </c>
      <c r="C11" t="n">
        <v>0.00078220608136625</v>
      </c>
      <c r="D11" t="n">
        <v>0.00301031953055667</v>
      </c>
      <c r="E11" t="n">
        <v>0.00242916280965546</v>
      </c>
      <c r="F11" t="n">
        <v>0.00272010828522234</v>
      </c>
      <c r="G11" t="n">
        <v>0.0145588254974319</v>
      </c>
      <c r="H11" t="n">
        <v>0.0556974028551559</v>
      </c>
      <c r="I11" t="n">
        <v>0.0118278617925491</v>
      </c>
      <c r="J11" t="n">
        <v>0.0242431730350327</v>
      </c>
      <c r="K11" t="n">
        <v>0.103878296186548</v>
      </c>
      <c r="L11" t="n">
        <v>0.205944942398383</v>
      </c>
      <c r="M11" t="n">
        <v>0.0228827713775981</v>
      </c>
      <c r="N11" t="n">
        <v>0.162687526740563</v>
      </c>
      <c r="O11" t="n">
        <v>0.001644819913043</v>
      </c>
      <c r="P11" t="n">
        <v>0.00493445973912901</v>
      </c>
      <c r="Q11" t="n">
        <v>0.0070582851085665</v>
      </c>
      <c r="R11" t="n">
        <v>0.000947540214379824</v>
      </c>
      <c r="S11" t="n">
        <v>0.00750226364258851</v>
      </c>
      <c r="T11" t="n">
        <v>0.0002295667391325</v>
      </c>
      <c r="U11" t="n">
        <v>0.00553119571109244</v>
      </c>
      <c r="V11" t="n">
        <v>0.00404313641388097</v>
      </c>
      <c r="W11" t="n">
        <v>0.0247462853955533</v>
      </c>
      <c r="X11" t="n">
        <v>0.00186170724903314</v>
      </c>
      <c r="Y11" t="n">
        <v>0.0128898786035452</v>
      </c>
      <c r="Z11" t="n">
        <v>0.00100943769983239</v>
      </c>
      <c r="AA11" t="n">
        <v>0.000286421129847665</v>
      </c>
      <c r="AB11" t="n">
        <v>0.00277567900647873</v>
      </c>
      <c r="AC11" t="n">
        <v>0.010787233442964</v>
      </c>
      <c r="AD11" t="n">
        <v>0.0034718146139328</v>
      </c>
      <c r="AE11" t="n">
        <v>0.00221753472338697</v>
      </c>
      <c r="AF11" t="n">
        <v>0.00333085755434363</v>
      </c>
      <c r="AG11" t="n">
        <v>0.000451122776307645</v>
      </c>
      <c r="AH11" t="n">
        <v>0.00100166023875428</v>
      </c>
      <c r="AI11" t="n">
        <v>0.000170371183014055</v>
      </c>
      <c r="AJ11" t="n">
        <v>0.000131141291840994</v>
      </c>
      <c r="AK11" t="n">
        <v>0.0120036033047774</v>
      </c>
      <c r="AL11" t="n">
        <v>0.0414239418470241</v>
      </c>
      <c r="AM11" t="n">
        <v>0.0911526042613449</v>
      </c>
      <c r="AN11" t="n">
        <v>0.000536510015282431</v>
      </c>
      <c r="AO11" t="n">
        <v>0.0731783304075717</v>
      </c>
      <c r="AP11" t="n">
        <v>0.00825885640627128</v>
      </c>
      <c r="AQ11" t="n">
        <v>0</v>
      </c>
    </row>
    <row r="12">
      <c r="A12" t="s">
        <v>607</v>
      </c>
      <c r="B12" t="n">
        <v>0.0139277350379201</v>
      </c>
      <c r="C12" t="n">
        <v>0.00178207745488293</v>
      </c>
      <c r="D12" t="n">
        <v>0.0000989419199752241</v>
      </c>
      <c r="E12" t="n">
        <v>0.00553429125706341</v>
      </c>
      <c r="F12" t="n">
        <v>0.0042518773994854</v>
      </c>
      <c r="G12" t="n">
        <v>0.0629521735283095</v>
      </c>
      <c r="H12" t="n">
        <v>0.00435111059050615</v>
      </c>
      <c r="I12" t="n">
        <v>0.015912415437452</v>
      </c>
      <c r="J12" t="n">
        <v>0.019844628860612</v>
      </c>
      <c r="K12" t="n">
        <v>0.00669087983203237</v>
      </c>
      <c r="L12" t="n">
        <v>0.0159391304825399</v>
      </c>
      <c r="M12" t="n">
        <v>0.00177101449805999</v>
      </c>
      <c r="N12" t="n">
        <v>0.103237931048734</v>
      </c>
      <c r="O12" t="n">
        <v>0.00109219005493518</v>
      </c>
      <c r="P12" t="n">
        <v>0.00327657016480555</v>
      </c>
      <c r="Q12" t="n">
        <v>0.00323361369763781</v>
      </c>
      <c r="R12" t="n">
        <v>0.000987359850843106</v>
      </c>
      <c r="S12" t="n">
        <v>0.00794977748520316</v>
      </c>
      <c r="T12" t="n">
        <v>0.000743760020940113</v>
      </c>
      <c r="U12" t="n">
        <v>0.0144236144748015</v>
      </c>
      <c r="V12" t="n">
        <v>0.0616642711939879</v>
      </c>
      <c r="W12" t="n">
        <v>0.179923089183725</v>
      </c>
      <c r="X12" t="n">
        <v>0.0140512427180631</v>
      </c>
      <c r="Y12" t="n">
        <v>0.0597105117441255</v>
      </c>
      <c r="Z12" t="n">
        <v>0.000115956748034032</v>
      </c>
      <c r="AA12" t="n">
        <v>0.000804440013429433</v>
      </c>
      <c r="AB12" t="n">
        <v>0.00134719531676909</v>
      </c>
      <c r="AC12" t="n">
        <v>0.076739539617146</v>
      </c>
      <c r="AD12" t="n">
        <v>0.075423719028189</v>
      </c>
      <c r="AE12" t="n">
        <v>0.0163415248084331</v>
      </c>
      <c r="AF12" t="n">
        <v>0.0217652844720572</v>
      </c>
      <c r="AG12" t="n">
        <v>0.00271950123207663</v>
      </c>
      <c r="AH12" t="n">
        <v>0.00749892151251652</v>
      </c>
      <c r="AI12" t="n">
        <v>0.00163037975232563</v>
      </c>
      <c r="AJ12" t="n">
        <v>0.00274893056176593</v>
      </c>
      <c r="AK12" t="n">
        <v>0.00139592861482377</v>
      </c>
      <c r="AL12" t="n">
        <v>0.0203462138868471</v>
      </c>
      <c r="AM12" t="n">
        <v>0.102675317407063</v>
      </c>
      <c r="AN12" t="n">
        <v>0.00156288203458419</v>
      </c>
      <c r="AO12" t="n">
        <v>0.0514197058702644</v>
      </c>
      <c r="AP12" t="n">
        <v>0.012114351187035</v>
      </c>
      <c r="AQ12" t="n">
        <v>0</v>
      </c>
    </row>
    <row r="13">
      <c r="A13" t="s">
        <v>608</v>
      </c>
      <c r="B13" t="n">
        <v>0.000968882262664849</v>
      </c>
      <c r="C13" t="n">
        <v>0.000786430964105477</v>
      </c>
      <c r="D13" t="n">
        <v>0.00257048355074615</v>
      </c>
      <c r="E13" t="n">
        <v>0.00244228330087864</v>
      </c>
      <c r="F13" t="n">
        <v>0.00556893879205743</v>
      </c>
      <c r="G13" t="n">
        <v>0.0303757934911807</v>
      </c>
      <c r="H13" t="n">
        <v>0.00076243561299375</v>
      </c>
      <c r="I13" t="n">
        <v>0.0244932660373124</v>
      </c>
      <c r="J13" t="n">
        <v>0.00564193243413559</v>
      </c>
      <c r="K13" t="n">
        <v>0.034919846213323</v>
      </c>
      <c r="L13" t="n">
        <v>0.00486926648212607</v>
      </c>
      <c r="M13" t="n">
        <v>0.000541029609125119</v>
      </c>
      <c r="N13" t="n">
        <v>0.0239409932931769</v>
      </c>
      <c r="O13" t="n">
        <v>0.0298512069295629</v>
      </c>
      <c r="P13" t="n">
        <v>0.0895536207886886</v>
      </c>
      <c r="Q13" t="n">
        <v>0.0237056757867122</v>
      </c>
      <c r="R13" t="n">
        <v>0.00742951107482165</v>
      </c>
      <c r="S13" t="n">
        <v>0.0118716956225808</v>
      </c>
      <c r="T13" t="n">
        <v>0.000198316353997482</v>
      </c>
      <c r="U13" t="n">
        <v>0.0274369187310902</v>
      </c>
      <c r="V13" t="n">
        <v>0.0224438783839487</v>
      </c>
      <c r="W13" t="n">
        <v>0.107933919218155</v>
      </c>
      <c r="X13" t="n">
        <v>0.00368269168960593</v>
      </c>
      <c r="Y13" t="n">
        <v>0.0190315594072843</v>
      </c>
      <c r="Z13" t="n">
        <v>0.000447790638375013</v>
      </c>
      <c r="AA13" t="n">
        <v>0.000124386288437504</v>
      </c>
      <c r="AB13" t="n">
        <v>0.00258713957232091</v>
      </c>
      <c r="AC13" t="n">
        <v>0.337530385077397</v>
      </c>
      <c r="AD13" t="n">
        <v>0.0127217706227591</v>
      </c>
      <c r="AE13" t="n">
        <v>0.0037867525857958</v>
      </c>
      <c r="AF13" t="n">
        <v>0.0218411696930127</v>
      </c>
      <c r="AG13" t="n">
        <v>0.00378999929472726</v>
      </c>
      <c r="AH13" t="n">
        <v>0.011361212671089</v>
      </c>
      <c r="AI13" t="n">
        <v>0.000913249171952574</v>
      </c>
      <c r="AJ13" t="n">
        <v>0.000445297242645478</v>
      </c>
      <c r="AK13" t="n">
        <v>0.000765207737282975</v>
      </c>
      <c r="AL13" t="n">
        <v>0.0213131287627687</v>
      </c>
      <c r="AM13" t="n">
        <v>0.0471526937951502</v>
      </c>
      <c r="AN13" t="n">
        <v>0.000380303701546859</v>
      </c>
      <c r="AO13" t="n">
        <v>0.0421392676392663</v>
      </c>
      <c r="AP13" t="n">
        <v>0.0116796694751992</v>
      </c>
      <c r="AQ13" t="n">
        <v>0</v>
      </c>
    </row>
    <row r="14">
      <c r="A14" t="s">
        <v>609</v>
      </c>
      <c r="B14" t="n">
        <v>0.000968882262664848</v>
      </c>
      <c r="C14" t="n">
        <v>0.000786430964105477</v>
      </c>
      <c r="D14" t="n">
        <v>0.00257048355074615</v>
      </c>
      <c r="E14" t="n">
        <v>0.00244228330087864</v>
      </c>
      <c r="F14" t="n">
        <v>0.00556893879205743</v>
      </c>
      <c r="G14" t="n">
        <v>0.0303757934911807</v>
      </c>
      <c r="H14" t="n">
        <v>0.00076243561299375</v>
      </c>
      <c r="I14" t="n">
        <v>0.0244932660373124</v>
      </c>
      <c r="J14" t="n">
        <v>0.00564193243413559</v>
      </c>
      <c r="K14" t="n">
        <v>0.034919846213323</v>
      </c>
      <c r="L14" t="n">
        <v>0.00486926648212607</v>
      </c>
      <c r="M14" t="n">
        <v>0.000541029609125119</v>
      </c>
      <c r="N14" t="n">
        <v>0.0239409932931769</v>
      </c>
      <c r="O14" t="n">
        <v>0.0298512069295629</v>
      </c>
      <c r="P14" t="n">
        <v>0.0895536207886886</v>
      </c>
      <c r="Q14" t="n">
        <v>0.0237056757867122</v>
      </c>
      <c r="R14" t="n">
        <v>0.00742951107482165</v>
      </c>
      <c r="S14" t="n">
        <v>0.0118716956225808</v>
      </c>
      <c r="T14" t="n">
        <v>0.000198316353997482</v>
      </c>
      <c r="U14" t="n">
        <v>0.0274369187310902</v>
      </c>
      <c r="V14" t="n">
        <v>0.0224438783839487</v>
      </c>
      <c r="W14" t="n">
        <v>0.107933919218155</v>
      </c>
      <c r="X14" t="n">
        <v>0.00368269168960593</v>
      </c>
      <c r="Y14" t="n">
        <v>0.0190315594072843</v>
      </c>
      <c r="Z14" t="n">
        <v>0.000447790638375013</v>
      </c>
      <c r="AA14" t="n">
        <v>0.000124386288437504</v>
      </c>
      <c r="AB14" t="n">
        <v>0.00258713957232091</v>
      </c>
      <c r="AC14" t="n">
        <v>0.337530385077397</v>
      </c>
      <c r="AD14" t="n">
        <v>0.0127217706227591</v>
      </c>
      <c r="AE14" t="n">
        <v>0.0037867525857958</v>
      </c>
      <c r="AF14" t="n">
        <v>0.0218411696930127</v>
      </c>
      <c r="AG14" t="n">
        <v>0.00378999929472726</v>
      </c>
      <c r="AH14" t="n">
        <v>0.011361212671089</v>
      </c>
      <c r="AI14" t="n">
        <v>0.000913249171952574</v>
      </c>
      <c r="AJ14" t="n">
        <v>0.000445297242645478</v>
      </c>
      <c r="AK14" t="n">
        <v>0.000765207737282975</v>
      </c>
      <c r="AL14" t="n">
        <v>0.0213131287627687</v>
      </c>
      <c r="AM14" t="n">
        <v>0.0471526937951502</v>
      </c>
      <c r="AN14" t="n">
        <v>0.000380303701546859</v>
      </c>
      <c r="AO14" t="n">
        <v>0.0421392676392663</v>
      </c>
      <c r="AP14" t="n">
        <v>0.0116796694751992</v>
      </c>
      <c r="AQ14" t="n">
        <v>0</v>
      </c>
    </row>
    <row r="15">
      <c r="A15" t="s">
        <v>610</v>
      </c>
      <c r="B15" t="n">
        <v>0.00249306036900082</v>
      </c>
      <c r="C15" t="n">
        <v>0.000354946922838064</v>
      </c>
      <c r="D15" t="n">
        <v>0.0030618320037013</v>
      </c>
      <c r="E15" t="n">
        <v>0.00110229757208466</v>
      </c>
      <c r="F15" t="n">
        <v>0.0012930139776991</v>
      </c>
      <c r="G15" t="n">
        <v>0.00505056916030613</v>
      </c>
      <c r="H15" t="n">
        <v>0.000452120174391547</v>
      </c>
      <c r="I15" t="n">
        <v>0.00243685584188186</v>
      </c>
      <c r="J15" t="n">
        <v>0.00451101021932885</v>
      </c>
      <c r="K15" t="n">
        <v>0.0052594403420874</v>
      </c>
      <c r="L15" t="n">
        <v>0.00056735782292448</v>
      </c>
      <c r="M15" t="n">
        <v>0.00006303975810272</v>
      </c>
      <c r="N15" t="n">
        <v>0.00557305870422733</v>
      </c>
      <c r="O15" t="n">
        <v>0.000890804506805103</v>
      </c>
      <c r="P15" t="n">
        <v>0.00267241352041531</v>
      </c>
      <c r="Q15" t="n">
        <v>0.257102602110267</v>
      </c>
      <c r="R15" t="n">
        <v>0.0856297198940773</v>
      </c>
      <c r="S15" t="n">
        <v>0.12982022261936</v>
      </c>
      <c r="T15" t="n">
        <v>0.00101083671014705</v>
      </c>
      <c r="U15" t="n">
        <v>0.0659972649185882</v>
      </c>
      <c r="V15" t="n">
        <v>0.115657889505445</v>
      </c>
      <c r="W15" t="n">
        <v>0.184437678628395</v>
      </c>
      <c r="X15" t="n">
        <v>0.0225257777994532</v>
      </c>
      <c r="Y15" t="n">
        <v>0.0451095810336555</v>
      </c>
      <c r="Z15" t="n">
        <v>0.00222039075107702</v>
      </c>
      <c r="AA15" t="n">
        <v>0.000631967076745468</v>
      </c>
      <c r="AB15" t="n">
        <v>0.0010702803067966</v>
      </c>
      <c r="AC15" t="n">
        <v>0.010293391101798</v>
      </c>
      <c r="AD15" t="n">
        <v>0.00335436188344371</v>
      </c>
      <c r="AE15" t="n">
        <v>0.00822535843537288</v>
      </c>
      <c r="AF15" t="n">
        <v>0.000853055542222004</v>
      </c>
      <c r="AG15" t="n">
        <v>0.000168533634577634</v>
      </c>
      <c r="AH15" t="n">
        <v>0.000458965590208486</v>
      </c>
      <c r="AI15" t="n">
        <v>0.000198607908675296</v>
      </c>
      <c r="AJ15" t="n">
        <v>0.000306674317218489</v>
      </c>
      <c r="AK15" t="n">
        <v>0.00297642517348941</v>
      </c>
      <c r="AL15" t="n">
        <v>0.0033164892971589</v>
      </c>
      <c r="AM15" t="n">
        <v>0.0179743426505822</v>
      </c>
      <c r="AN15" t="n">
        <v>0.000307408730046983</v>
      </c>
      <c r="AO15" t="n">
        <v>0.00156147477773489</v>
      </c>
      <c r="AP15" t="n">
        <v>0.00300887870766869</v>
      </c>
      <c r="AQ15" t="n">
        <v>0</v>
      </c>
    </row>
    <row r="16">
      <c r="A16" t="s">
        <v>611</v>
      </c>
      <c r="B16" t="n">
        <v>0.000621650868585711</v>
      </c>
      <c r="C16" t="n">
        <v>0.000281108649761806</v>
      </c>
      <c r="D16" t="n">
        <v>0.00305743001303798</v>
      </c>
      <c r="E16" t="n">
        <v>0.000872990754918598</v>
      </c>
      <c r="F16" t="n">
        <v>0.00117005768773872</v>
      </c>
      <c r="G16" t="n">
        <v>0.00503793248804657</v>
      </c>
      <c r="H16" t="n">
        <v>0.000447722970347846</v>
      </c>
      <c r="I16" t="n">
        <v>0.0022673101881168</v>
      </c>
      <c r="J16" t="n">
        <v>0.00432524151793433</v>
      </c>
      <c r="K16" t="n">
        <v>0.000113993942469899</v>
      </c>
      <c r="L16" t="n">
        <v>0.0000698120131888555</v>
      </c>
      <c r="M16" t="n">
        <v>0.00000775689035431727</v>
      </c>
      <c r="N16" t="n">
        <v>0.00569195909693626</v>
      </c>
      <c r="O16" t="n">
        <v>0.000912367522357192</v>
      </c>
      <c r="P16" t="n">
        <v>0.00273710256707158</v>
      </c>
      <c r="Q16" t="n">
        <v>0.266782130399533</v>
      </c>
      <c r="R16" t="n">
        <v>0.0889258347381875</v>
      </c>
      <c r="S16" t="n">
        <v>0.134754407259674</v>
      </c>
      <c r="T16" t="n">
        <v>0.00104914262419538</v>
      </c>
      <c r="U16" t="n">
        <v>0.0684892839587637</v>
      </c>
      <c r="V16" t="n">
        <v>0.120036419180313</v>
      </c>
      <c r="W16" t="n">
        <v>0.191577702543938</v>
      </c>
      <c r="X16" t="n">
        <v>0.0233833037510628</v>
      </c>
      <c r="Y16" t="n">
        <v>0.0467522683186846</v>
      </c>
      <c r="Z16" t="n">
        <v>0.00000687887578241782</v>
      </c>
      <c r="AA16" t="n">
        <v>0.00000191079882844939</v>
      </c>
      <c r="AB16" t="n">
        <v>0.000726708669540788</v>
      </c>
      <c r="AC16" t="n">
        <v>0.00870387972987344</v>
      </c>
      <c r="AD16" t="n">
        <v>0.00286041869011229</v>
      </c>
      <c r="AE16" t="n">
        <v>0.00204284246131413</v>
      </c>
      <c r="AF16" t="n">
        <v>0.000409771598990622</v>
      </c>
      <c r="AG16" t="n">
        <v>0.000159619295182237</v>
      </c>
      <c r="AH16" t="n">
        <v>0.000452177428655135</v>
      </c>
      <c r="AI16" t="n">
        <v>0.000178736159201692</v>
      </c>
      <c r="AJ16" t="n">
        <v>0</v>
      </c>
      <c r="AK16" t="n">
        <v>0.00290618580976091</v>
      </c>
      <c r="AL16" t="n">
        <v>0.00294791578786552</v>
      </c>
      <c r="AM16" t="n">
        <v>0.00479825164796151</v>
      </c>
      <c r="AN16" t="n">
        <v>0.000257488348575621</v>
      </c>
      <c r="AO16" t="n">
        <v>0.0013208611404613</v>
      </c>
      <c r="AP16" t="n">
        <v>0.00286142361267577</v>
      </c>
      <c r="AQ16" t="n">
        <v>0</v>
      </c>
    </row>
    <row r="17">
      <c r="A17" t="s">
        <v>612</v>
      </c>
      <c r="B17" t="n">
        <v>0.0116700676102015</v>
      </c>
      <c r="C17" t="n">
        <v>0.000701664741815375</v>
      </c>
      <c r="D17" t="n">
        <v>0.00737991292662796</v>
      </c>
      <c r="E17" t="n">
        <v>0.0021790394325333</v>
      </c>
      <c r="F17" t="n">
        <v>0.0021624666728666</v>
      </c>
      <c r="G17" t="n">
        <v>0.0393537150345668</v>
      </c>
      <c r="H17" t="n">
        <v>0.0036551750857553</v>
      </c>
      <c r="I17" t="n">
        <v>0.0261020671211728</v>
      </c>
      <c r="J17" t="n">
        <v>0.0271145290569693</v>
      </c>
      <c r="K17" t="n">
        <v>0.011443578166877</v>
      </c>
      <c r="L17" t="n">
        <v>0.0103977922883694</v>
      </c>
      <c r="M17" t="n">
        <v>0.00115531025426327</v>
      </c>
      <c r="N17" t="n">
        <v>0.0297701100505692</v>
      </c>
      <c r="O17" t="n">
        <v>0.00120263475979073</v>
      </c>
      <c r="P17" t="n">
        <v>0.00360790427937218</v>
      </c>
      <c r="Q17" t="n">
        <v>0.0140489390750089</v>
      </c>
      <c r="R17" t="n">
        <v>0.00452817582468793</v>
      </c>
      <c r="S17" t="n">
        <v>0.0806465937295587</v>
      </c>
      <c r="T17" t="n">
        <v>0.00132583202866606</v>
      </c>
      <c r="U17" t="n">
        <v>0.0429337990375711</v>
      </c>
      <c r="V17" t="n">
        <v>0.0954388039858565</v>
      </c>
      <c r="W17" t="n">
        <v>0.134525275808453</v>
      </c>
      <c r="X17" t="n">
        <v>0.0417144171491321</v>
      </c>
      <c r="Y17" t="n">
        <v>0.0635013732677869</v>
      </c>
      <c r="Z17" t="n">
        <v>0.00298915493186385</v>
      </c>
      <c r="AA17" t="n">
        <v>0.00456362353546924</v>
      </c>
      <c r="AB17" t="n">
        <v>0.00901082514053872</v>
      </c>
      <c r="AC17" t="n">
        <v>0.150577638522138</v>
      </c>
      <c r="AD17" t="n">
        <v>0.0135164913479805</v>
      </c>
      <c r="AE17" t="n">
        <v>0.0236956610735525</v>
      </c>
      <c r="AF17" t="n">
        <v>0.0159659381878616</v>
      </c>
      <c r="AG17" t="n">
        <v>0.00538188834187301</v>
      </c>
      <c r="AH17" t="n">
        <v>0.0152565064457787</v>
      </c>
      <c r="AI17" t="n">
        <v>0.00219807401931711</v>
      </c>
      <c r="AJ17" t="n">
        <v>0.000969225054231485</v>
      </c>
      <c r="AK17" t="n">
        <v>0.0027016472186534</v>
      </c>
      <c r="AL17" t="n">
        <v>0.0142219697942978</v>
      </c>
      <c r="AM17" t="n">
        <v>0.0576807142848211</v>
      </c>
      <c r="AN17" t="n">
        <v>0.000632258815280648</v>
      </c>
      <c r="AO17" t="n">
        <v>0.0109176493579681</v>
      </c>
      <c r="AP17" t="n">
        <v>0.0131615565399022</v>
      </c>
      <c r="AQ17" t="n">
        <v>0</v>
      </c>
    </row>
    <row r="18">
      <c r="A18" t="s">
        <v>613</v>
      </c>
      <c r="B18" t="n">
        <v>0.000125440898604668</v>
      </c>
      <c r="C18" t="n">
        <v>0.000049150359126947</v>
      </c>
      <c r="D18" t="n">
        <v>0.000116960532197724</v>
      </c>
      <c r="E18" t="n">
        <v>0.000152637811590326</v>
      </c>
      <c r="F18" t="n">
        <v>0.000874996252002909</v>
      </c>
      <c r="G18" t="n">
        <v>0.0129684196976454</v>
      </c>
      <c r="H18" t="n">
        <v>0.00320166796675914</v>
      </c>
      <c r="I18" t="n">
        <v>0.0137386148568055</v>
      </c>
      <c r="J18" t="n">
        <v>-0.000774399076884198</v>
      </c>
      <c r="K18" t="n">
        <v>0.00531275085871078</v>
      </c>
      <c r="L18" t="n">
        <v>0.00771343691264026</v>
      </c>
      <c r="M18" t="n">
        <v>0.000857048545848918</v>
      </c>
      <c r="N18" t="n">
        <v>0.0107627646202117</v>
      </c>
      <c r="O18" t="n">
        <v>0.00049777024948591</v>
      </c>
      <c r="P18" t="n">
        <v>0.00149331074845773</v>
      </c>
      <c r="Q18" t="n">
        <v>0.0051459183707148</v>
      </c>
      <c r="R18" t="n">
        <v>0.00164343748552452</v>
      </c>
      <c r="S18" t="n">
        <v>0.018255878114556</v>
      </c>
      <c r="T18" t="n">
        <v>0.0123021509154515</v>
      </c>
      <c r="U18" t="n">
        <v>0.0157747583395772</v>
      </c>
      <c r="V18" t="n">
        <v>0.0359443696377319</v>
      </c>
      <c r="W18" t="n">
        <v>0.191935958165004</v>
      </c>
      <c r="X18" t="n">
        <v>0.0786778057342243</v>
      </c>
      <c r="Y18" t="n">
        <v>0.0178989173882965</v>
      </c>
      <c r="Z18" t="n">
        <v>0.000398700910036866</v>
      </c>
      <c r="AA18" t="n">
        <v>0.000188984262963506</v>
      </c>
      <c r="AB18" t="n">
        <v>0.00525303150750276</v>
      </c>
      <c r="AC18" t="n">
        <v>0.0230904231906192</v>
      </c>
      <c r="AD18" t="n">
        <v>0.1922100222663</v>
      </c>
      <c r="AE18" t="n">
        <v>0.00545048777496137</v>
      </c>
      <c r="AF18" t="n">
        <v>0.00336730655484224</v>
      </c>
      <c r="AG18" t="n">
        <v>0.0186227546685309</v>
      </c>
      <c r="AH18" t="n">
        <v>0.0476802972879648</v>
      </c>
      <c r="AI18" t="n">
        <v>0.0119174900815571</v>
      </c>
      <c r="AJ18" t="n">
        <v>0.0119043331247085</v>
      </c>
      <c r="AK18" t="n">
        <v>0.00176630277981513</v>
      </c>
      <c r="AL18" t="n">
        <v>0.0732824443383395</v>
      </c>
      <c r="AM18" t="n">
        <v>0.106424604721328</v>
      </c>
      <c r="AN18" t="n">
        <v>0.00193159575756863</v>
      </c>
      <c r="AO18" t="n">
        <v>0.0415361944989103</v>
      </c>
      <c r="AP18" t="n">
        <v>0.0203052608897668</v>
      </c>
      <c r="AQ18" t="n">
        <v>0</v>
      </c>
    </row>
    <row r="19">
      <c r="A19" t="s">
        <v>614</v>
      </c>
      <c r="B19" t="n">
        <v>0.042424071333158</v>
      </c>
      <c r="C19" t="n">
        <v>0.000152662716931398</v>
      </c>
      <c r="D19" t="n">
        <v>0.000315882298057402</v>
      </c>
      <c r="E19" t="n">
        <v>0.000474098326802796</v>
      </c>
      <c r="F19" t="n">
        <v>0.00414137666829867</v>
      </c>
      <c r="G19" t="n">
        <v>0.014363911135201</v>
      </c>
      <c r="H19" t="n">
        <v>0.00130583510031405</v>
      </c>
      <c r="I19" t="n">
        <v>0.0124681192043382</v>
      </c>
      <c r="J19" t="n">
        <v>0.00857402612827287</v>
      </c>
      <c r="K19" t="n">
        <v>0.00511480248309203</v>
      </c>
      <c r="L19" t="n">
        <v>0.00340948725766699</v>
      </c>
      <c r="M19" t="n">
        <v>0.000378831917518554</v>
      </c>
      <c r="N19" t="n">
        <v>0.0118747310077878</v>
      </c>
      <c r="O19" t="n">
        <v>0.000232628842200778</v>
      </c>
      <c r="P19" t="n">
        <v>0.000697886526602334</v>
      </c>
      <c r="Q19" t="n">
        <v>0.0146935429665526</v>
      </c>
      <c r="R19" t="n">
        <v>0.00482865677905532</v>
      </c>
      <c r="S19" t="n">
        <v>0.0186119283964244</v>
      </c>
      <c r="T19" t="n">
        <v>0.0016491732723699</v>
      </c>
      <c r="U19" t="n">
        <v>0.147449180815327</v>
      </c>
      <c r="V19" t="n">
        <v>0.168531681832165</v>
      </c>
      <c r="W19" t="n">
        <v>0.0852391706752009</v>
      </c>
      <c r="X19" t="n">
        <v>0.0148098920724415</v>
      </c>
      <c r="Y19" t="n">
        <v>0.00807732396488664</v>
      </c>
      <c r="Z19" t="n">
        <v>0.00017098073379836</v>
      </c>
      <c r="AA19" t="n">
        <v>0.0000804478640895777</v>
      </c>
      <c r="AB19" t="n">
        <v>0.0100639365740867</v>
      </c>
      <c r="AC19" t="n">
        <v>0.179862271620175</v>
      </c>
      <c r="AD19" t="n">
        <v>0.027618696688821</v>
      </c>
      <c r="AE19" t="n">
        <v>0.00445034937930985</v>
      </c>
      <c r="AF19" t="n">
        <v>0.0163202718055445</v>
      </c>
      <c r="AG19" t="n">
        <v>0.00521019396341422</v>
      </c>
      <c r="AH19" t="n">
        <v>0.0156190608709616</v>
      </c>
      <c r="AI19" t="n">
        <v>0.00610857789840407</v>
      </c>
      <c r="AJ19" t="n">
        <v>0.00119335365474825</v>
      </c>
      <c r="AK19" t="n">
        <v>0.00700605761622141</v>
      </c>
      <c r="AL19" t="n">
        <v>0.0288734824403753</v>
      </c>
      <c r="AM19" t="n">
        <v>0.0791452615975991</v>
      </c>
      <c r="AN19" t="n">
        <v>0.00171692586350336</v>
      </c>
      <c r="AO19" t="n">
        <v>0.0196221826494573</v>
      </c>
      <c r="AP19" t="n">
        <v>0.0271190470588244</v>
      </c>
      <c r="AQ19" t="n">
        <v>0</v>
      </c>
    </row>
    <row r="20">
      <c r="A20" t="s">
        <v>615</v>
      </c>
      <c r="B20" t="n">
        <v>0.0257021790902634</v>
      </c>
      <c r="C20" t="n">
        <v>0.00428523189543913</v>
      </c>
      <c r="D20" t="n">
        <v>0.00988959493020281</v>
      </c>
      <c r="E20" t="n">
        <v>0.0133079072115729</v>
      </c>
      <c r="F20" t="n">
        <v>0.0174110122026449</v>
      </c>
      <c r="G20" t="n">
        <v>0.0187520358721105</v>
      </c>
      <c r="H20" t="n">
        <v>0.00034268533627203</v>
      </c>
      <c r="I20" t="n">
        <v>0.00598667887833436</v>
      </c>
      <c r="J20" t="n">
        <v>0.0129868796488722</v>
      </c>
      <c r="K20" t="n">
        <v>0.000894690624058095</v>
      </c>
      <c r="L20" t="n">
        <v>0.0077156421284937</v>
      </c>
      <c r="M20" t="n">
        <v>0.000857293569832633</v>
      </c>
      <c r="N20" t="n">
        <v>0.0113828897151461</v>
      </c>
      <c r="O20" t="n">
        <v>0.000128640500449208</v>
      </c>
      <c r="P20" t="n">
        <v>0.000385921501347624</v>
      </c>
      <c r="Q20" t="n">
        <v>0.00404083567934871</v>
      </c>
      <c r="R20" t="n">
        <v>0.00133484223153515</v>
      </c>
      <c r="S20" t="n">
        <v>0.0165845149042871</v>
      </c>
      <c r="T20" t="n">
        <v>0.000159784561635405</v>
      </c>
      <c r="U20" t="n">
        <v>0.0181205348588814</v>
      </c>
      <c r="V20" t="n">
        <v>0.221748255642793</v>
      </c>
      <c r="W20" t="n">
        <v>0.289873953693996</v>
      </c>
      <c r="X20" t="n">
        <v>0.0182011401690745</v>
      </c>
      <c r="Y20" t="n">
        <v>0.00355520150299043</v>
      </c>
      <c r="Z20" t="n">
        <v>0.00952811694460162</v>
      </c>
      <c r="AA20" t="n">
        <v>0.00299123981999765</v>
      </c>
      <c r="AB20" t="n">
        <v>0.0246123098291155</v>
      </c>
      <c r="AC20" t="n">
        <v>0.0819546720043215</v>
      </c>
      <c r="AD20" t="n">
        <v>0.0137125402630433</v>
      </c>
      <c r="AE20" t="n">
        <v>0.0469066773540966</v>
      </c>
      <c r="AF20" t="n">
        <v>0.00258426487235303</v>
      </c>
      <c r="AG20" t="n">
        <v>0.000756955833283324</v>
      </c>
      <c r="AH20" t="n">
        <v>0.00211557931069446</v>
      </c>
      <c r="AI20" t="n">
        <v>0.0030825528166321</v>
      </c>
      <c r="AJ20" t="n">
        <v>0.00217396061072672</v>
      </c>
      <c r="AK20" t="n">
        <v>0.000191820101916288</v>
      </c>
      <c r="AL20" t="n">
        <v>0.0221406997080478</v>
      </c>
      <c r="AM20" t="n">
        <v>0.0468087690338766</v>
      </c>
      <c r="AN20" t="n">
        <v>0.00393460662527086</v>
      </c>
      <c r="AO20" t="n">
        <v>0.0076562048453926</v>
      </c>
      <c r="AP20" t="n">
        <v>0.0252006836770486</v>
      </c>
      <c r="AQ20" t="n">
        <v>0</v>
      </c>
    </row>
    <row r="21">
      <c r="A21" t="s">
        <v>616</v>
      </c>
      <c r="B21" t="n">
        <v>0.00548361288836989</v>
      </c>
      <c r="C21" t="n">
        <v>0.000442850225846933</v>
      </c>
      <c r="D21" t="n">
        <v>0.00054078732426933</v>
      </c>
      <c r="E21" t="n">
        <v>0.00137528373212838</v>
      </c>
      <c r="F21" t="n">
        <v>0.00107554488941411</v>
      </c>
      <c r="G21" t="n">
        <v>0.0118459879063924</v>
      </c>
      <c r="H21" t="n">
        <v>0.000455351608825797</v>
      </c>
      <c r="I21" t="n">
        <v>0.0145415628799229</v>
      </c>
      <c r="J21" t="n">
        <v>0.00584188377703572</v>
      </c>
      <c r="K21" t="n">
        <v>0.00137631112319294</v>
      </c>
      <c r="L21" t="n">
        <v>0.00151231514150913</v>
      </c>
      <c r="M21" t="n">
        <v>0.000168035015723237</v>
      </c>
      <c r="N21" t="n">
        <v>0.0025373067543267</v>
      </c>
      <c r="O21" t="n">
        <v>0.000308902926953642</v>
      </c>
      <c r="P21" t="n">
        <v>0.000926708780860926</v>
      </c>
      <c r="Q21" t="n">
        <v>0.00226915498874758</v>
      </c>
      <c r="R21" t="n">
        <v>0.000737766843698195</v>
      </c>
      <c r="S21" t="n">
        <v>0.00279821919432505</v>
      </c>
      <c r="T21" t="n">
        <v>0.0001957957190934</v>
      </c>
      <c r="U21" t="n">
        <v>0.00327852270939482</v>
      </c>
      <c r="V21" t="n">
        <v>0.0376505233244438</v>
      </c>
      <c r="W21" t="n">
        <v>0.68390724104911</v>
      </c>
      <c r="X21" t="n">
        <v>0.00785473239823851</v>
      </c>
      <c r="Y21" t="n">
        <v>0.0066272373371403</v>
      </c>
      <c r="Z21" t="n">
        <v>0.0000987432211252576</v>
      </c>
      <c r="AA21" t="n">
        <v>0.0000315473930922754</v>
      </c>
      <c r="AB21" t="n">
        <v>0.00292340466375092</v>
      </c>
      <c r="AC21" t="n">
        <v>0.00300672314188282</v>
      </c>
      <c r="AD21" t="n">
        <v>0.0439747978269493</v>
      </c>
      <c r="AE21" t="n">
        <v>0.0336504841408045</v>
      </c>
      <c r="AF21" t="n">
        <v>0.00345537580422237</v>
      </c>
      <c r="AG21" t="n">
        <v>0.000571128399832978</v>
      </c>
      <c r="AH21" t="n">
        <v>0.00139809376194788</v>
      </c>
      <c r="AI21" t="n">
        <v>0.000131598991960688</v>
      </c>
      <c r="AJ21" t="n">
        <v>0.000273488271922009</v>
      </c>
      <c r="AK21" t="n">
        <v>0</v>
      </c>
      <c r="AL21" t="n">
        <v>0.0263100095036978</v>
      </c>
      <c r="AM21" t="n">
        <v>0.0553996650759004</v>
      </c>
      <c r="AN21" t="n">
        <v>0.000647637826959029</v>
      </c>
      <c r="AO21" t="n">
        <v>0.0103943910449819</v>
      </c>
      <c r="AP21" t="n">
        <v>0.023981272392006</v>
      </c>
      <c r="AQ21" t="n">
        <v>0</v>
      </c>
    </row>
    <row r="22">
      <c r="A22" t="s">
        <v>617</v>
      </c>
      <c r="B22" t="n">
        <v>0.0000600948403945145</v>
      </c>
      <c r="C22" t="n">
        <v>0.00000884774295267863</v>
      </c>
      <c r="D22" t="n">
        <v>0</v>
      </c>
      <c r="E22" t="n">
        <v>0.0000274769125963554</v>
      </c>
      <c r="F22" t="n">
        <v>0</v>
      </c>
      <c r="G22" t="n">
        <v>0</v>
      </c>
      <c r="H22" t="n">
        <v>0</v>
      </c>
      <c r="I22" t="n">
        <v>0.000110362010919496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0.000197595682954568</v>
      </c>
      <c r="T22" t="n">
        <v>0</v>
      </c>
      <c r="U22" t="n">
        <v>0</v>
      </c>
      <c r="V22" t="n">
        <v>0.000828018158257264</v>
      </c>
      <c r="W22" t="n">
        <v>0.00386769078465889</v>
      </c>
      <c r="X22" t="n">
        <v>0.738395456725524</v>
      </c>
      <c r="Y22" t="n">
        <v>0</v>
      </c>
      <c r="Z22" t="n">
        <v>0</v>
      </c>
      <c r="AA22" t="n">
        <v>0</v>
      </c>
      <c r="AB22" t="n">
        <v>0.000255030439972124</v>
      </c>
      <c r="AC22" t="n">
        <v>0.0000695515936524325</v>
      </c>
      <c r="AD22" t="n">
        <v>0.0002517836456035</v>
      </c>
      <c r="AE22" t="n">
        <v>0.0317539754585513</v>
      </c>
      <c r="AF22" t="n">
        <v>0</v>
      </c>
      <c r="AG22" t="n">
        <v>0.00000144821502650621</v>
      </c>
      <c r="AH22" t="n">
        <v>0.00000434464507951864</v>
      </c>
      <c r="AI22" t="n">
        <v>0</v>
      </c>
      <c r="AJ22" t="n">
        <v>0</v>
      </c>
      <c r="AK22" t="n">
        <v>0</v>
      </c>
      <c r="AL22" t="n">
        <v>0.00169338708520115</v>
      </c>
      <c r="AM22" t="n">
        <v>0.221677635099806</v>
      </c>
      <c r="AN22" t="n">
        <v>0</v>
      </c>
      <c r="AO22" t="n">
        <v>0</v>
      </c>
      <c r="AP22" t="n">
        <v>0.000797300958849492</v>
      </c>
      <c r="AQ22" t="n">
        <v>0</v>
      </c>
    </row>
    <row r="23">
      <c r="A23" t="s">
        <v>618</v>
      </c>
      <c r="B23" t="n">
        <v>0.00114119786355297</v>
      </c>
      <c r="C23" t="n">
        <v>0.0000700209478199276</v>
      </c>
      <c r="D23" t="n">
        <v>0.0000897971190843308</v>
      </c>
      <c r="E23" t="n">
        <v>0.000217452007077086</v>
      </c>
      <c r="F23" t="n">
        <v>0.000170221823538621</v>
      </c>
      <c r="G23" t="n">
        <v>0.00032058753656468</v>
      </c>
      <c r="H23" t="n">
        <v>0.00145919707997828</v>
      </c>
      <c r="I23" t="n">
        <v>0.0144614835118223</v>
      </c>
      <c r="J23" t="n">
        <v>0.00000643483458618528</v>
      </c>
      <c r="K23" t="n">
        <v>0.0000256208607977352</v>
      </c>
      <c r="L23" t="n">
        <v>0.00129883494212147</v>
      </c>
      <c r="M23" t="n">
        <v>0.000144314993569053</v>
      </c>
      <c r="N23" t="n">
        <v>0.00572937615438508</v>
      </c>
      <c r="O23" t="n">
        <v>0.000115861707600479</v>
      </c>
      <c r="P23" t="n">
        <v>0.000347585122801436</v>
      </c>
      <c r="Q23" t="n">
        <v>0.000190013792498967</v>
      </c>
      <c r="R23" t="n">
        <v>0.0000629913427056525</v>
      </c>
      <c r="S23" t="n">
        <v>0.000376948866829723</v>
      </c>
      <c r="T23" t="n">
        <v>0.0000359116942977869</v>
      </c>
      <c r="U23" t="n">
        <v>0.00806710997659426</v>
      </c>
      <c r="V23" t="n">
        <v>0.0292552408289663</v>
      </c>
      <c r="W23" t="n">
        <v>0.0395570536195551</v>
      </c>
      <c r="X23" t="n">
        <v>0.00280487183705516</v>
      </c>
      <c r="Y23" t="n">
        <v>0.237674132759247</v>
      </c>
      <c r="Z23" t="n">
        <v>0</v>
      </c>
      <c r="AA23" t="n">
        <v>0.00000417155750421922</v>
      </c>
      <c r="AB23" t="n">
        <v>0.00159048109875801</v>
      </c>
      <c r="AC23" t="n">
        <v>0.109614642170413</v>
      </c>
      <c r="AD23" t="n">
        <v>0.0495298435670675</v>
      </c>
      <c r="AE23" t="n">
        <v>0.0029419410294267</v>
      </c>
      <c r="AF23" t="n">
        <v>0.011497801428269</v>
      </c>
      <c r="AG23" t="n">
        <v>0.000304252984312707</v>
      </c>
      <c r="AH23" t="n">
        <v>0.000889315936015151</v>
      </c>
      <c r="AI23" t="n">
        <v>0.00044488426365047</v>
      </c>
      <c r="AJ23" t="n">
        <v>0.000482626504996225</v>
      </c>
      <c r="AK23" t="n">
        <v>0.0258296687262194</v>
      </c>
      <c r="AL23" t="n">
        <v>0.0214236891768307</v>
      </c>
      <c r="AM23" t="n">
        <v>0.0944635107071301</v>
      </c>
      <c r="AN23" t="n">
        <v>0.00145029575438773</v>
      </c>
      <c r="AO23" t="n">
        <v>0.315983631339639</v>
      </c>
      <c r="AP23" t="n">
        <v>0.0199269825323307</v>
      </c>
      <c r="AQ23" t="n">
        <v>0</v>
      </c>
    </row>
    <row r="24">
      <c r="A24" t="s">
        <v>619</v>
      </c>
      <c r="B24" t="n">
        <v>0.0286592317796417</v>
      </c>
      <c r="C24" t="n">
        <v>0.00173822017645731</v>
      </c>
      <c r="D24" t="n">
        <v>0.0124851075435862</v>
      </c>
      <c r="E24" t="n">
        <v>0.00539809125527085</v>
      </c>
      <c r="F24" t="n">
        <v>0.00100406130062744</v>
      </c>
      <c r="G24" t="n">
        <v>0.0133260669869155</v>
      </c>
      <c r="H24" t="n">
        <v>0.00431668485529939</v>
      </c>
      <c r="I24" t="n">
        <v>0.00884750690408627</v>
      </c>
      <c r="J24" t="n">
        <v>0.0164113340733413</v>
      </c>
      <c r="K24" t="n">
        <v>0.297166381759054</v>
      </c>
      <c r="L24" t="n">
        <v>0.00974225662200797</v>
      </c>
      <c r="M24" t="n">
        <v>0.00108247295800089</v>
      </c>
      <c r="N24" t="n">
        <v>0.0118036726993052</v>
      </c>
      <c r="O24" t="n">
        <v>0.00160912081149829</v>
      </c>
      <c r="P24" t="n">
        <v>0.00482736243449488</v>
      </c>
      <c r="Q24" t="n">
        <v>0.0224187591736998</v>
      </c>
      <c r="R24" t="n">
        <v>0.00345297907642122</v>
      </c>
      <c r="S24" t="n">
        <v>0.00618312428935554</v>
      </c>
      <c r="T24" t="n">
        <v>0.000179292643413938</v>
      </c>
      <c r="U24" t="n">
        <v>0.00240556901195217</v>
      </c>
      <c r="V24" t="n">
        <v>0.0057835075457851</v>
      </c>
      <c r="W24" t="n">
        <v>0.00972322777460915</v>
      </c>
      <c r="X24" t="n">
        <v>0.00617262876711752</v>
      </c>
      <c r="Y24" t="n">
        <v>0.00574121981187683</v>
      </c>
      <c r="Z24" t="n">
        <v>0.0943516006064571</v>
      </c>
      <c r="AA24" t="n">
        <v>0.0284928774268334</v>
      </c>
      <c r="AB24" t="n">
        <v>0.0126879050861834</v>
      </c>
      <c r="AC24" t="n">
        <v>0.0106793822318755</v>
      </c>
      <c r="AD24" t="n">
        <v>0.0951446869089516</v>
      </c>
      <c r="AE24" t="n">
        <v>0.0294765331338726</v>
      </c>
      <c r="AF24" t="n">
        <v>0.0456213814275936</v>
      </c>
      <c r="AG24" t="n">
        <v>0.0018209636742415</v>
      </c>
      <c r="AH24" t="n">
        <v>0.00451997557152727</v>
      </c>
      <c r="AI24" t="n">
        <v>0.000948093117363513</v>
      </c>
      <c r="AJ24" t="n">
        <v>0.00731478370800611</v>
      </c>
      <c r="AK24" t="n">
        <v>0.0245352174534925</v>
      </c>
      <c r="AL24" t="n">
        <v>0.0139179275798015</v>
      </c>
      <c r="AM24" t="n">
        <v>0.10569153203821</v>
      </c>
      <c r="AN24" t="n">
        <v>0.00453900795806295</v>
      </c>
      <c r="AO24" t="n">
        <v>0.0244416371027977</v>
      </c>
      <c r="AP24" t="n">
        <v>0.0153386147209106</v>
      </c>
      <c r="AQ24" t="n">
        <v>0</v>
      </c>
    </row>
    <row r="25">
      <c r="A25" t="s">
        <v>620</v>
      </c>
      <c r="B25" t="n">
        <v>0.00984551462869251</v>
      </c>
      <c r="C25" t="n">
        <v>0.000664010967871724</v>
      </c>
      <c r="D25" t="n">
        <v>0.00217788040288098</v>
      </c>
      <c r="E25" t="n">
        <v>0.00206210458699064</v>
      </c>
      <c r="F25" t="n">
        <v>0.00118356753588877</v>
      </c>
      <c r="G25" t="n">
        <v>0.0127377607309333</v>
      </c>
      <c r="H25" t="n">
        <v>0.00253499304875119</v>
      </c>
      <c r="I25" t="n">
        <v>0.0055019189998564</v>
      </c>
      <c r="J25" t="n">
        <v>0.00854192364418328</v>
      </c>
      <c r="K25" t="n">
        <v>0.0170158243802903</v>
      </c>
      <c r="L25" t="n">
        <v>0.00756371005751022</v>
      </c>
      <c r="M25" t="n">
        <v>0.000840412228612247</v>
      </c>
      <c r="N25" t="n">
        <v>0.00662033643445779</v>
      </c>
      <c r="O25" t="n">
        <v>0.000939873142471196</v>
      </c>
      <c r="P25" t="n">
        <v>0.00281961942741359</v>
      </c>
      <c r="Q25" t="n">
        <v>0.00619205461399633</v>
      </c>
      <c r="R25" t="n">
        <v>0.00183383535664903</v>
      </c>
      <c r="S25" t="n">
        <v>0.00398203759231853</v>
      </c>
      <c r="T25" t="n">
        <v>0.000102935324819163</v>
      </c>
      <c r="U25" t="n">
        <v>0.0015447077550008</v>
      </c>
      <c r="V25" t="n">
        <v>0.00461908337965713</v>
      </c>
      <c r="W25" t="n">
        <v>0.00559006867147951</v>
      </c>
      <c r="X25" t="n">
        <v>0.00358986515123669</v>
      </c>
      <c r="Y25" t="n">
        <v>0.00571588212923324</v>
      </c>
      <c r="Z25" t="n">
        <v>0.0203440269802574</v>
      </c>
      <c r="AA25" t="n">
        <v>0.00812646461431631</v>
      </c>
      <c r="AB25" t="n">
        <v>0.0966293005592862</v>
      </c>
      <c r="AC25" t="n">
        <v>0.0119331391556126</v>
      </c>
      <c r="AD25" t="n">
        <v>0.0616080712107916</v>
      </c>
      <c r="AE25" t="n">
        <v>0.0249796447414583</v>
      </c>
      <c r="AF25" t="n">
        <v>0.0385768856525876</v>
      </c>
      <c r="AG25" t="n">
        <v>0.000699289332935737</v>
      </c>
      <c r="AH25" t="n">
        <v>0.00151888295380702</v>
      </c>
      <c r="AI25" t="n">
        <v>0.000910961007412645</v>
      </c>
      <c r="AJ25" t="n">
        <v>0.0133915720152561</v>
      </c>
      <c r="AK25" t="n">
        <v>0.18914057872436</v>
      </c>
      <c r="AL25" t="n">
        <v>0.031678012334233</v>
      </c>
      <c r="AM25" t="n">
        <v>0.322588203809516</v>
      </c>
      <c r="AN25" t="n">
        <v>0.00234745015303813</v>
      </c>
      <c r="AO25" t="n">
        <v>0.0422328685809383</v>
      </c>
      <c r="AP25" t="n">
        <v>0.0190747279829985</v>
      </c>
      <c r="AQ25" t="n">
        <v>0</v>
      </c>
    </row>
    <row r="26">
      <c r="A26" t="s">
        <v>621</v>
      </c>
      <c r="B26" t="n">
        <v>0.00975105683221075</v>
      </c>
      <c r="C26" t="n">
        <v>0.00300613040732054</v>
      </c>
      <c r="D26" t="n">
        <v>0.000151994884546204</v>
      </c>
      <c r="E26" t="n">
        <v>0.00933562185259756</v>
      </c>
      <c r="F26" t="n">
        <v>0.00655265324935259</v>
      </c>
      <c r="G26" t="n">
        <v>0.00651997738271077</v>
      </c>
      <c r="H26" t="n">
        <v>0.00119981450951657</v>
      </c>
      <c r="I26" t="n">
        <v>0.00349372705969969</v>
      </c>
      <c r="J26" t="n">
        <v>0.00690762068975054</v>
      </c>
      <c r="K26" t="n">
        <v>0.0776695182299498</v>
      </c>
      <c r="L26" t="n">
        <v>0.0030085969961593</v>
      </c>
      <c r="M26" t="n">
        <v>0.000334288555128811</v>
      </c>
      <c r="N26" t="n">
        <v>0.00423695100567088</v>
      </c>
      <c r="O26" t="n">
        <v>0.00079419882171025</v>
      </c>
      <c r="P26" t="n">
        <v>0.00238259646513075</v>
      </c>
      <c r="Q26" t="n">
        <v>0.0079069976094085</v>
      </c>
      <c r="R26" t="n">
        <v>0.00158498560238416</v>
      </c>
      <c r="S26" t="n">
        <v>0.00392068891401765</v>
      </c>
      <c r="T26" t="n">
        <v>0.000137297301611324</v>
      </c>
      <c r="U26" t="n">
        <v>0.00111610675755855</v>
      </c>
      <c r="V26" t="n">
        <v>0.00457184610988466</v>
      </c>
      <c r="W26" t="n">
        <v>0.00559331729005097</v>
      </c>
      <c r="X26" t="n">
        <v>0.00202701206411706</v>
      </c>
      <c r="Y26" t="n">
        <v>0.00284642115555827</v>
      </c>
      <c r="Z26" t="n">
        <v>0.0229679397385141</v>
      </c>
      <c r="AA26" t="n">
        <v>0.00955046532374866</v>
      </c>
      <c r="AB26" t="n">
        <v>0.00300742102588047</v>
      </c>
      <c r="AC26" t="n">
        <v>0.000630583990073357</v>
      </c>
      <c r="AD26" t="n">
        <v>0.0472724596422627</v>
      </c>
      <c r="AE26" t="n">
        <v>0.0255789429820813</v>
      </c>
      <c r="AF26" t="n">
        <v>0.023484458214617</v>
      </c>
      <c r="AG26" t="n">
        <v>0.00138169124516635</v>
      </c>
      <c r="AH26" t="n">
        <v>0.00381672438998943</v>
      </c>
      <c r="AI26" t="n">
        <v>0.000399074230123752</v>
      </c>
      <c r="AJ26" t="n">
        <v>0.0161009267887867</v>
      </c>
      <c r="AK26" t="n">
        <v>0.284236581548348</v>
      </c>
      <c r="AL26" t="n">
        <v>0.0090430183870544</v>
      </c>
      <c r="AM26" t="n">
        <v>0.359827856851677</v>
      </c>
      <c r="AN26" t="n">
        <v>0.00352878075712118</v>
      </c>
      <c r="AO26" t="n">
        <v>0.0100995377098253</v>
      </c>
      <c r="AP26" t="n">
        <v>0.0140241174286847</v>
      </c>
      <c r="AQ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2026-07-17T19:23:29Z</dcterms:created>
</coreProperties>
</file>