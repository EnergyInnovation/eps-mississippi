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61BB6E9E-73B9-41E8-9768-19F84D8771DE}"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<sst xmlns="http://schemas.openxmlformats.org/spreadsheetml/2006/main" count="5677" uniqueCount="335">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</sst>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110</v>
      </c>
    </row>
    <row r="2" spans="1:2" x14ac:dyDescent="0.25">
      <c r="A2" s="3" t="s">
        <v>2</v>
      </c>
      <c r="B2" s="4" t="str">
        <f>IFERROR(INDEX(Geography!B:B, MATCH($B$1, Geography!C:C, 0)), "")</f>
        <v>MS</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1424668</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0.9764433465857304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1518377</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1.0231603051705993</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1725681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0.78028043050652285</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1110314</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2.7616062336568135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37950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0.19970080030554846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69100</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0.4959071288807817</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120945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0.21059372428656914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2822100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2943045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1.1913928235772133</v>
      </c>
    </row>
    <row r="12" spans="1:28" x14ac:dyDescent="0.25">
      <c r="A12" s="4" t="s">
        <v>319</v>
      </c>
    </row>
    <row r="13" spans="1:28" x14ac:dyDescent="0.25">
      <c r="A13" s="4" t="s">
        <v>320</v>
      </c>
      <c r="B13" s="37">
        <f>INDEX(Census_pop_2020_2025!G:G, MATCH("."&amp;About!$B$1, Census_pop_2020_2025!A:A, 0))</f>
        <v>2950172</v>
      </c>
      <c r="C13" s="37">
        <f>INDEX(Census_pop_2020_2025!H:H, MATCH("."&amp;About!$B$1, Census_pop_2020_2025!A:A, 0))</f>
        <v>2954160</v>
      </c>
      <c r="D13" s="37">
        <f>INDEX(Census_pop_2020_2025!H:H, MATCH("."&amp;About!$B$1, Census_pop_2020_2025!A:A, 0))+0.2*(INDEX(Cooper_pop_2030_2050!D:D, MATCH(About!$B$1, Cooper_pop_2030_2050!B:B, 0))-INDEX(Census_pop_2020_2025!H:H, MATCH("."&amp;About!$B$1, Census_pop_2020_2025!A:A, 0)))</f>
        <v>2954682.320515641</v>
      </c>
      <c r="E13" s="37">
        <f>INDEX(Census_pop_2020_2025!H:H, MATCH("."&amp;About!$B$1, Census_pop_2020_2025!A:A, 0))+0.4*(INDEX(Cooper_pop_2030_2050!D:D, MATCH(About!$B$1, Cooper_pop_2030_2050!B:B, 0))-INDEX(Census_pop_2020_2025!H:H, MATCH("."&amp;About!$B$1, Census_pop_2020_2025!A:A, 0)))</f>
        <v>2955204.641031282</v>
      </c>
      <c r="F13" s="37">
        <f>INDEX(Census_pop_2020_2025!H:H, MATCH("."&amp;About!$B$1, Census_pop_2020_2025!A:A, 0))+0.6*(INDEX(Cooper_pop_2030_2050!D:D, MATCH(About!$B$1, Cooper_pop_2030_2050!B:B, 0))-INDEX(Census_pop_2020_2025!H:H, MATCH("."&amp;About!$B$1, Census_pop_2020_2025!A:A, 0)))</f>
        <v>2955726.961546923</v>
      </c>
      <c r="G13" s="37">
        <f>INDEX(Census_pop_2020_2025!H:H, MATCH("."&amp;About!$B$1, Census_pop_2020_2025!A:A, 0))+0.8*(INDEX(Cooper_pop_2030_2050!D:D, MATCH(About!$B$1, Cooper_pop_2030_2050!B:B, 0))-INDEX(Census_pop_2020_2025!H:H, MATCH("."&amp;About!$B$1, Census_pop_2020_2025!A:A, 0)))</f>
        <v>2956249.282062564</v>
      </c>
      <c r="H13" s="37">
        <f>INDEX(Cooper_pop_2030_2050!D:D, MATCH(About!$B$1, Cooper_pop_2030_2050!B:B, 0))</f>
        <v>2956771.6025782051</v>
      </c>
      <c r="I13" s="37">
        <f>INDEX(Cooper_pop_2030_2050!D:D, MATCH(About!$B$1, Cooper_pop_2030_2050!B:B, 0))+0.1*(INDEX(Cooper_pop_2030_2050!E:E, MATCH(About!$B$1, Cooper_pop_2030_2050!B:B, 0))-INDEX(Cooper_pop_2030_2050!D:D, MATCH(About!$B$1, Cooper_pop_2030_2050!B:B, 0)))</f>
        <v>2944796.3218247639</v>
      </c>
      <c r="J13" s="37">
        <f>INDEX(Cooper_pop_2030_2050!D:D, MATCH(About!$B$1, Cooper_pop_2030_2050!B:B, 0))+0.2*(INDEX(Cooper_pop_2030_2050!E:E, MATCH(About!$B$1, Cooper_pop_2030_2050!B:B, 0))-INDEX(Cooper_pop_2030_2050!D:D, MATCH(About!$B$1, Cooper_pop_2030_2050!B:B, 0)))</f>
        <v>2932821.0410713232</v>
      </c>
      <c r="K13" s="37">
        <f>INDEX(Cooper_pop_2030_2050!D:D, MATCH(About!$B$1, Cooper_pop_2030_2050!B:B, 0))+0.3*(INDEX(Cooper_pop_2030_2050!E:E, MATCH(About!$B$1, Cooper_pop_2030_2050!B:B, 0))-INDEX(Cooper_pop_2030_2050!D:D, MATCH(About!$B$1, Cooper_pop_2030_2050!B:B, 0)))</f>
        <v>2920845.7603178821</v>
      </c>
      <c r="L13" s="37">
        <f>INDEX(Cooper_pop_2030_2050!D:D, MATCH(About!$B$1, Cooper_pop_2030_2050!B:B, 0))+0.4*(INDEX(Cooper_pop_2030_2050!E:E, MATCH(About!$B$1, Cooper_pop_2030_2050!B:B, 0))-INDEX(Cooper_pop_2030_2050!D:D, MATCH(About!$B$1, Cooper_pop_2030_2050!B:B, 0)))</f>
        <v>2908870.4795644409</v>
      </c>
      <c r="M13" s="37">
        <f>INDEX(Cooper_pop_2030_2050!D:D, MATCH(About!$B$1, Cooper_pop_2030_2050!B:B, 0))+0.5*(INDEX(Cooper_pop_2030_2050!E:E, MATCH(About!$B$1, Cooper_pop_2030_2050!B:B, 0))-INDEX(Cooper_pop_2030_2050!D:D, MATCH(About!$B$1, Cooper_pop_2030_2050!B:B, 0)))</f>
        <v>2896895.1988110002</v>
      </c>
      <c r="N13" s="37">
        <f>INDEX(Cooper_pop_2030_2050!D:D, MATCH(About!$B$1, Cooper_pop_2030_2050!B:B, 0))+0.6*(INDEX(Cooper_pop_2030_2050!E:E, MATCH(About!$B$1, Cooper_pop_2030_2050!B:B, 0))-INDEX(Cooper_pop_2030_2050!D:D, MATCH(About!$B$1, Cooper_pop_2030_2050!B:B, 0)))</f>
        <v>2884919.9180575591</v>
      </c>
      <c r="O13" s="37">
        <f>INDEX(Cooper_pop_2030_2050!D:D, MATCH(About!$B$1, Cooper_pop_2030_2050!B:B, 0))+0.7*(INDEX(Cooper_pop_2030_2050!E:E, MATCH(About!$B$1, Cooper_pop_2030_2050!B:B, 0))-INDEX(Cooper_pop_2030_2050!D:D, MATCH(About!$B$1, Cooper_pop_2030_2050!B:B, 0)))</f>
        <v>2872944.6373041179</v>
      </c>
      <c r="P13" s="37">
        <f>INDEX(Cooper_pop_2030_2050!D:D, MATCH(About!$B$1, Cooper_pop_2030_2050!B:B, 0))+0.8*(INDEX(Cooper_pop_2030_2050!E:E, MATCH(About!$B$1, Cooper_pop_2030_2050!B:B, 0))-INDEX(Cooper_pop_2030_2050!D:D, MATCH(About!$B$1, Cooper_pop_2030_2050!B:B, 0)))</f>
        <v>2860969.3565506767</v>
      </c>
      <c r="Q13" s="37">
        <f>INDEX(Cooper_pop_2030_2050!D:D, MATCH(About!$B$1, Cooper_pop_2030_2050!B:B, 0))+0.9*(INDEX(Cooper_pop_2030_2050!E:E, MATCH(About!$B$1, Cooper_pop_2030_2050!B:B, 0))-INDEX(Cooper_pop_2030_2050!D:D, MATCH(About!$B$1, Cooper_pop_2030_2050!B:B, 0)))</f>
        <v>2848994.0757972361</v>
      </c>
      <c r="R13" s="37">
        <f>INDEX(Cooper_pop_2030_2050!E:E, MATCH(About!$B$1, Cooper_pop_2030_2050!B:B, 0))</f>
        <v>2837018.7950437949</v>
      </c>
      <c r="S13" s="37">
        <f>INDEX(Cooper_pop_2030_2050!E:E, MATCH(About!$B$1, Cooper_pop_2030_2050!B:B, 0))+0.1*(INDEX(Cooper_pop_2030_2050!F:F, MATCH(About!$B$1, Cooper_pop_2030_2050!B:B, 0))-INDEX(Cooper_pop_2030_2050!E:E, MATCH(About!$B$1, Cooper_pop_2030_2050!B:B, 0)))</f>
        <v>2822338.7798948507</v>
      </c>
      <c r="T13" s="37">
        <f>INDEX(Cooper_pop_2030_2050!E:E, MATCH(About!$B$1, Cooper_pop_2030_2050!B:B, 0))+0.2*(INDEX(Cooper_pop_2030_2050!F:F, MATCH(About!$B$1, Cooper_pop_2030_2050!B:B, 0))-INDEX(Cooper_pop_2030_2050!E:E, MATCH(About!$B$1, Cooper_pop_2030_2050!B:B, 0)))</f>
        <v>2807658.7647459065</v>
      </c>
      <c r="U13" s="37">
        <f>INDEX(Cooper_pop_2030_2050!E:E, MATCH(About!$B$1, Cooper_pop_2030_2050!B:B, 0))+0.3*(INDEX(Cooper_pop_2030_2050!F:F, MATCH(About!$B$1, Cooper_pop_2030_2050!B:B, 0))-INDEX(Cooper_pop_2030_2050!E:E, MATCH(About!$B$1, Cooper_pop_2030_2050!B:B, 0)))</f>
        <v>2792978.7495969622</v>
      </c>
      <c r="V13" s="37">
        <f>INDEX(Cooper_pop_2030_2050!E:E, MATCH(About!$B$1, Cooper_pop_2030_2050!B:B, 0))+0.4*(INDEX(Cooper_pop_2030_2050!F:F, MATCH(About!$B$1, Cooper_pop_2030_2050!B:B, 0))-INDEX(Cooper_pop_2030_2050!E:E, MATCH(About!$B$1, Cooper_pop_2030_2050!B:B, 0)))</f>
        <v>2778298.734448018</v>
      </c>
      <c r="W13" s="37">
        <f>INDEX(Cooper_pop_2030_2050!E:E, MATCH(About!$B$1, Cooper_pop_2030_2050!B:B, 0))+0.5*(INDEX(Cooper_pop_2030_2050!F:F, MATCH(About!$B$1, Cooper_pop_2030_2050!B:B, 0))-INDEX(Cooper_pop_2030_2050!E:E, MATCH(About!$B$1, Cooper_pop_2030_2050!B:B, 0)))</f>
        <v>2763618.7192990743</v>
      </c>
      <c r="X13" s="37">
        <f>INDEX(Cooper_pop_2030_2050!E:E, MATCH(About!$B$1, Cooper_pop_2030_2050!B:B, 0))+0.6*(INDEX(Cooper_pop_2030_2050!F:F, MATCH(About!$B$1, Cooper_pop_2030_2050!B:B, 0))-INDEX(Cooper_pop_2030_2050!E:E, MATCH(About!$B$1, Cooper_pop_2030_2050!B:B, 0)))</f>
        <v>2748938.70415013</v>
      </c>
      <c r="Y13" s="37">
        <f>INDEX(Cooper_pop_2030_2050!E:E, MATCH(About!$B$1, Cooper_pop_2030_2050!B:B, 0))+0.7*(INDEX(Cooper_pop_2030_2050!F:F, MATCH(About!$B$1, Cooper_pop_2030_2050!B:B, 0))-INDEX(Cooper_pop_2030_2050!E:E, MATCH(About!$B$1, Cooper_pop_2030_2050!B:B, 0)))</f>
        <v>2734258.6890011858</v>
      </c>
      <c r="Z13" s="37">
        <f>INDEX(Cooper_pop_2030_2050!E:E, MATCH(About!$B$1, Cooper_pop_2030_2050!B:B, 0))+0.8*(INDEX(Cooper_pop_2030_2050!F:F, MATCH(About!$B$1, Cooper_pop_2030_2050!B:B, 0))-INDEX(Cooper_pop_2030_2050!E:E, MATCH(About!$B$1, Cooper_pop_2030_2050!B:B, 0)))</f>
        <v>2719578.6738522416</v>
      </c>
      <c r="AA13" s="37">
        <f>INDEX(Cooper_pop_2030_2050!E:E, MATCH(About!$B$1, Cooper_pop_2030_2050!B:B, 0))+0.9*(INDEX(Cooper_pop_2030_2050!F:F, MATCH(About!$B$1, Cooper_pop_2030_2050!B:B, 0))-INDEX(Cooper_pop_2030_2050!E:E, MATCH(About!$B$1, Cooper_pop_2030_2050!B:B, 0)))</f>
        <v>2704898.6587032974</v>
      </c>
      <c r="AB13" s="37">
        <f>INDEX(Cooper_pop_2030_2050!F:F, MATCH(About!$B$1, Cooper_pop_2030_2050!B:B, 0))</f>
        <v>2690218.6435543532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8.7676919628026165E-3</v>
      </c>
      <c r="C15" s="39">
        <f t="shared" si="1"/>
        <v>8.7396979326961905E-3</v>
      </c>
      <c r="D15" s="39">
        <f t="shared" si="1"/>
        <v>8.702706314320385E-3</v>
      </c>
      <c r="E15" s="39">
        <f t="shared" si="1"/>
        <v>8.6670391593977741E-3</v>
      </c>
      <c r="F15" s="39">
        <f t="shared" si="1"/>
        <v>8.6327639547681256E-3</v>
      </c>
      <c r="G15" s="39">
        <f t="shared" si="1"/>
        <v>8.5999030685964539E-3</v>
      </c>
      <c r="H15" s="39">
        <f t="shared" si="1"/>
        <v>8.5685253884290012E-3</v>
      </c>
      <c r="I15" s="39">
        <f t="shared" si="1"/>
        <v>8.5026349245367807E-3</v>
      </c>
      <c r="J15" s="39">
        <f t="shared" si="1"/>
        <v>8.4386776218357811E-3</v>
      </c>
      <c r="K15" s="39">
        <f t="shared" si="1"/>
        <v>8.3763423641683918E-3</v>
      </c>
      <c r="L15" s="39">
        <f t="shared" si="1"/>
        <v>8.31562861621616E-3</v>
      </c>
      <c r="M15" s="39">
        <f t="shared" si="1"/>
        <v>8.2565303788749624E-3</v>
      </c>
      <c r="N15" s="39">
        <f t="shared" si="1"/>
        <v>8.1990342129519191E-3</v>
      </c>
      <c r="O15" s="39">
        <f t="shared" si="1"/>
        <v>8.143127539149345E-3</v>
      </c>
      <c r="P15" s="39">
        <f t="shared" si="1"/>
        <v>8.0887880934350266E-3</v>
      </c>
      <c r="Q15" s="39">
        <f t="shared" si="1"/>
        <v>8.0359779344089145E-3</v>
      </c>
      <c r="R15" s="39">
        <f t="shared" si="1"/>
        <v>7.9846508250436769E-3</v>
      </c>
      <c r="S15" s="39">
        <f t="shared" si="1"/>
        <v>7.9271710078588041E-3</v>
      </c>
      <c r="T15" s="39">
        <f t="shared" si="1"/>
        <v>7.8710849043999182E-3</v>
      </c>
      <c r="U15" s="39">
        <f t="shared" si="1"/>
        <v>7.8163014626089385E-3</v>
      </c>
      <c r="V15" s="39">
        <f t="shared" si="1"/>
        <v>7.7627057497197637E-3</v>
      </c>
      <c r="W15" s="39">
        <f t="shared" si="1"/>
        <v>7.7101728261895798E-3</v>
      </c>
      <c r="X15" s="39">
        <f t="shared" si="1"/>
        <v>7.6585775151612988E-3</v>
      </c>
      <c r="Y15" s="39">
        <f t="shared" si="1"/>
        <v>7.6078358832902719E-3</v>
      </c>
      <c r="Z15" s="39">
        <f t="shared" si="1"/>
        <v>7.5578331936179497E-3</v>
      </c>
      <c r="AA15" s="39">
        <f t="shared" si="1"/>
        <v>7.5084557920543655E-3</v>
      </c>
      <c r="AB15" s="39">
        <f t="shared" si="1"/>
        <v>7.4595942973622823E-3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80.569024830024816</v>
      </c>
      <c r="C48" s="37">
        <f t="shared" si="10"/>
        <v>79.70587784311941</v>
      </c>
      <c r="D48" s="37">
        <f t="shared" si="10"/>
        <v>78.756680614849145</v>
      </c>
      <c r="E48" s="37">
        <f t="shared" si="10"/>
        <v>77.824577549598672</v>
      </c>
      <c r="F48" s="37">
        <f t="shared" si="10"/>
        <v>76.893031737512061</v>
      </c>
      <c r="G48" s="37">
        <f t="shared" si="10"/>
        <v>75.962139827619126</v>
      </c>
      <c r="H48" s="37">
        <f t="shared" si="10"/>
        <v>75.032382702863046</v>
      </c>
      <c r="I48" s="37">
        <f t="shared" si="10"/>
        <v>73.832721185447909</v>
      </c>
      <c r="J48" s="37">
        <f t="shared" si="10"/>
        <v>72.601676233642351</v>
      </c>
      <c r="K48" s="37">
        <f t="shared" si="10"/>
        <v>71.402877513989296</v>
      </c>
      <c r="L48" s="37">
        <f t="shared" si="10"/>
        <v>70.178914850950932</v>
      </c>
      <c r="M48" s="37">
        <f t="shared" si="10"/>
        <v>68.986826258648165</v>
      </c>
      <c r="N48" s="37">
        <f t="shared" si="10"/>
        <v>67.833926353205243</v>
      </c>
      <c r="O48" s="37">
        <f t="shared" si="10"/>
        <v>66.608062768173809</v>
      </c>
      <c r="P48" s="37">
        <f t="shared" si="10"/>
        <v>65.429047627892587</v>
      </c>
      <c r="Q48" s="37">
        <f t="shared" si="10"/>
        <v>64.225052778568823</v>
      </c>
      <c r="R48" s="37">
        <f t="shared" si="10"/>
        <v>63.035180913091835</v>
      </c>
      <c r="S48" s="37">
        <f t="shared" si="10"/>
        <v>61.784139301986542</v>
      </c>
      <c r="T48" s="37">
        <f t="shared" si="10"/>
        <v>60.555381995778603</v>
      </c>
      <c r="U48" s="37">
        <f t="shared" si="10"/>
        <v>59.347797139574176</v>
      </c>
      <c r="V48" s="37">
        <f t="shared" si="10"/>
        <v>58.160130588006211</v>
      </c>
      <c r="W48" s="37">
        <f t="shared" si="10"/>
        <v>56.998629012650127</v>
      </c>
      <c r="X48" s="37">
        <f t="shared" si="10"/>
        <v>55.914255100070669</v>
      </c>
      <c r="Y48" s="37">
        <f t="shared" si="10"/>
        <v>54.845506850734068</v>
      </c>
      <c r="Z48" s="37">
        <f t="shared" si="10"/>
        <v>53.828231560926035</v>
      </c>
      <c r="AA48" s="37">
        <f t="shared" si="10"/>
        <v>52.831377739456649</v>
      </c>
      <c r="AB48" s="37">
        <f t="shared" si="10"/>
        <v>51.846595343164616</v>
      </c>
    </row>
    <row r="49" spans="1:28" x14ac:dyDescent="0.25">
      <c r="A49" s="4" t="s">
        <v>216</v>
      </c>
      <c r="B49" s="37">
        <f t="shared" ref="B49:AB49" si="11">B29*B15*$F$5</f>
        <v>67.31654089980924</v>
      </c>
      <c r="C49" s="37">
        <f t="shared" si="11"/>
        <v>66.73498188522727</v>
      </c>
      <c r="D49" s="37">
        <f t="shared" si="11"/>
        <v>66.087444798203236</v>
      </c>
      <c r="E49" s="37">
        <f t="shared" si="11"/>
        <v>65.444145782661607</v>
      </c>
      <c r="F49" s="37">
        <f t="shared" si="11"/>
        <v>64.796697488199371</v>
      </c>
      <c r="G49" s="37">
        <f t="shared" si="11"/>
        <v>64.162887335565046</v>
      </c>
      <c r="H49" s="37">
        <f t="shared" si="11"/>
        <v>63.534268196677218</v>
      </c>
      <c r="I49" s="37">
        <f t="shared" si="11"/>
        <v>62.61072284219896</v>
      </c>
      <c r="J49" s="37">
        <f t="shared" si="11"/>
        <v>61.733957791175712</v>
      </c>
      <c r="K49" s="37">
        <f t="shared" si="11"/>
        <v>60.823710144676639</v>
      </c>
      <c r="L49" s="37">
        <f t="shared" si="11"/>
        <v>59.948925959753709</v>
      </c>
      <c r="M49" s="37">
        <f t="shared" si="11"/>
        <v>59.041353699137112</v>
      </c>
      <c r="N49" s="37">
        <f t="shared" si="11"/>
        <v>58.110092808634235</v>
      </c>
      <c r="O49" s="37">
        <f t="shared" si="11"/>
        <v>57.238949774454191</v>
      </c>
      <c r="P49" s="37">
        <f t="shared" si="11"/>
        <v>56.302491260829605</v>
      </c>
      <c r="Q49" s="37">
        <f t="shared" si="11"/>
        <v>55.400466917441115</v>
      </c>
      <c r="R49" s="37">
        <f t="shared" si="11"/>
        <v>54.474744602582213</v>
      </c>
      <c r="S49" s="37">
        <f t="shared" si="11"/>
        <v>53.514838736351173</v>
      </c>
      <c r="T49" s="37">
        <f t="shared" si="11"/>
        <v>52.55636853571491</v>
      </c>
      <c r="U49" s="37">
        <f t="shared" si="11"/>
        <v>51.614763881694095</v>
      </c>
      <c r="V49" s="37">
        <f t="shared" si="11"/>
        <v>50.704871378388852</v>
      </c>
      <c r="W49" s="37">
        <f t="shared" si="11"/>
        <v>49.817410666828245</v>
      </c>
      <c r="X49" s="37">
        <f t="shared" si="11"/>
        <v>48.935523409869099</v>
      </c>
      <c r="Y49" s="37">
        <f t="shared" si="11"/>
        <v>48.097556491652945</v>
      </c>
      <c r="Z49" s="37">
        <f t="shared" si="11"/>
        <v>47.263331491546545</v>
      </c>
      <c r="AA49" s="37">
        <f t="shared" si="11"/>
        <v>46.462876505488587</v>
      </c>
      <c r="AB49" s="37">
        <f t="shared" si="11"/>
        <v>45.717841058650947</v>
      </c>
    </row>
    <row r="50" spans="1:28" x14ac:dyDescent="0.25">
      <c r="A50" s="4" t="s">
        <v>217</v>
      </c>
      <c r="B50" s="37">
        <f t="shared" ref="B50:AB50" si="12">B30*B15*$F$6</f>
        <v>67.441125891623699</v>
      </c>
      <c r="C50" s="37">
        <f t="shared" si="12"/>
        <v>66.782533694269333</v>
      </c>
      <c r="D50" s="37">
        <f t="shared" si="12"/>
        <v>66.065274857700302</v>
      </c>
      <c r="E50" s="37">
        <f t="shared" si="12"/>
        <v>65.348173472443406</v>
      </c>
      <c r="F50" s="37">
        <f t="shared" si="12"/>
        <v>64.638433133741245</v>
      </c>
      <c r="G50" s="37">
        <f t="shared" si="12"/>
        <v>63.942792398440353</v>
      </c>
      <c r="H50" s="37">
        <f t="shared" si="12"/>
        <v>63.234794636936435</v>
      </c>
      <c r="I50" s="37">
        <f t="shared" si="12"/>
        <v>62.284119334286856</v>
      </c>
      <c r="J50" s="37">
        <f t="shared" si="12"/>
        <v>61.321774526447328</v>
      </c>
      <c r="K50" s="37">
        <f t="shared" si="12"/>
        <v>60.352463903930143</v>
      </c>
      <c r="L50" s="37">
        <f t="shared" si="12"/>
        <v>59.369978830830583</v>
      </c>
      <c r="M50" s="37">
        <f t="shared" si="12"/>
        <v>58.374668660458305</v>
      </c>
      <c r="N50" s="37">
        <f t="shared" si="12"/>
        <v>57.366794492579636</v>
      </c>
      <c r="O50" s="37">
        <f t="shared" si="12"/>
        <v>56.327527943893962</v>
      </c>
      <c r="P50" s="37">
        <f t="shared" si="12"/>
        <v>55.28263044594069</v>
      </c>
      <c r="Q50" s="37">
        <f t="shared" si="12"/>
        <v>54.225695554398627</v>
      </c>
      <c r="R50" s="37">
        <f t="shared" si="12"/>
        <v>53.15663619434212</v>
      </c>
      <c r="S50" s="37">
        <f t="shared" si="12"/>
        <v>52.037908229658754</v>
      </c>
      <c r="T50" s="37">
        <f t="shared" si="12"/>
        <v>50.938874276289511</v>
      </c>
      <c r="U50" s="37">
        <f t="shared" si="12"/>
        <v>49.858565298993454</v>
      </c>
      <c r="V50" s="37">
        <f t="shared" si="12"/>
        <v>48.80195305519873</v>
      </c>
      <c r="W50" s="37">
        <f t="shared" si="12"/>
        <v>47.779842152409458</v>
      </c>
      <c r="X50" s="37">
        <f t="shared" si="12"/>
        <v>46.79678863564007</v>
      </c>
      <c r="Y50" s="37">
        <f t="shared" si="12"/>
        <v>45.839687428503844</v>
      </c>
      <c r="Z50" s="37">
        <f t="shared" si="12"/>
        <v>44.913298638304738</v>
      </c>
      <c r="AA50" s="37">
        <f t="shared" si="12"/>
        <v>44.028138900743265</v>
      </c>
      <c r="AB50" s="37">
        <f t="shared" si="12"/>
        <v>43.171208110794595</v>
      </c>
    </row>
    <row r="51" spans="1:28" x14ac:dyDescent="0.25">
      <c r="A51" s="4" t="s">
        <v>218</v>
      </c>
      <c r="B51" s="37">
        <f t="shared" ref="B51:AB51" si="13">B31*B15*$F$7</f>
        <v>113.26800598137102</v>
      </c>
      <c r="C51" s="37">
        <f t="shared" si="13"/>
        <v>111.38581380394047</v>
      </c>
      <c r="D51" s="37">
        <f t="shared" si="13"/>
        <v>109.42428877729012</v>
      </c>
      <c r="E51" s="37">
        <f t="shared" si="13"/>
        <v>107.44398772166336</v>
      </c>
      <c r="F51" s="37">
        <f t="shared" si="13"/>
        <v>105.44562368444925</v>
      </c>
      <c r="G51" s="37">
        <f t="shared" si="13"/>
        <v>103.47677158686099</v>
      </c>
      <c r="H51" s="37">
        <f t="shared" si="13"/>
        <v>101.46648572399727</v>
      </c>
      <c r="I51" s="37">
        <f t="shared" si="13"/>
        <v>99.089522954659557</v>
      </c>
      <c r="J51" s="37">
        <f t="shared" si="13"/>
        <v>96.759473215218648</v>
      </c>
      <c r="K51" s="37">
        <f t="shared" si="13"/>
        <v>94.471738532727329</v>
      </c>
      <c r="L51" s="37">
        <f t="shared" si="13"/>
        <v>92.271328146089843</v>
      </c>
      <c r="M51" s="37">
        <f t="shared" si="13"/>
        <v>90.17908519139128</v>
      </c>
      <c r="N51" s="37">
        <f t="shared" si="13"/>
        <v>88.124625538629033</v>
      </c>
      <c r="O51" s="37">
        <f t="shared" si="13"/>
        <v>86.174444316348215</v>
      </c>
      <c r="P51" s="37">
        <f t="shared" si="13"/>
        <v>84.259115628521229</v>
      </c>
      <c r="Q51" s="37">
        <f t="shared" si="13"/>
        <v>82.421855896212065</v>
      </c>
      <c r="R51" s="37">
        <f t="shared" si="13"/>
        <v>80.638537676293879</v>
      </c>
      <c r="S51" s="37">
        <f t="shared" si="13"/>
        <v>78.810209534039174</v>
      </c>
      <c r="T51" s="37">
        <f t="shared" si="13"/>
        <v>77.03535081577084</v>
      </c>
      <c r="U51" s="37">
        <f t="shared" si="13"/>
        <v>75.290387389366614</v>
      </c>
      <c r="V51" s="37">
        <f t="shared" si="13"/>
        <v>73.616500644804916</v>
      </c>
      <c r="W51" s="37">
        <f t="shared" si="13"/>
        <v>71.947226865753237</v>
      </c>
      <c r="X51" s="37">
        <f t="shared" si="13"/>
        <v>70.344818203061209</v>
      </c>
      <c r="Y51" s="37">
        <f t="shared" si="13"/>
        <v>68.828258771778565</v>
      </c>
      <c r="Z51" s="37">
        <f t="shared" si="13"/>
        <v>67.332295374159159</v>
      </c>
      <c r="AA51" s="37">
        <f t="shared" si="13"/>
        <v>65.897095862466188</v>
      </c>
      <c r="AB51" s="37">
        <f t="shared" si="13"/>
        <v>64.479446411018529</v>
      </c>
    </row>
    <row r="52" spans="1:28" x14ac:dyDescent="0.25">
      <c r="A52" s="4" t="s">
        <v>219</v>
      </c>
      <c r="B52" s="37">
        <f t="shared" ref="B52:AB52" si="14">B32*B15*$F$8</f>
        <v>1.5075379026534228</v>
      </c>
      <c r="C52" s="37">
        <f t="shared" si="14"/>
        <v>1.5079605162521847</v>
      </c>
      <c r="D52" s="37">
        <f t="shared" si="14"/>
        <v>1.5067917394933381</v>
      </c>
      <c r="E52" s="37">
        <f t="shared" si="14"/>
        <v>1.5075395657342106</v>
      </c>
      <c r="F52" s="37">
        <f t="shared" si="14"/>
        <v>1.5084736367890754</v>
      </c>
      <c r="G52" s="37">
        <f t="shared" si="14"/>
        <v>1.5096012147816424</v>
      </c>
      <c r="H52" s="37">
        <f t="shared" si="14"/>
        <v>1.5109378363392831</v>
      </c>
      <c r="I52" s="37">
        <f t="shared" si="14"/>
        <v>1.5061109202335448</v>
      </c>
      <c r="J52" s="37">
        <f t="shared" si="14"/>
        <v>1.501522711069605</v>
      </c>
      <c r="K52" s="37">
        <f t="shared" si="14"/>
        <v>1.5004677595606548</v>
      </c>
      <c r="L52" s="37">
        <f t="shared" si="14"/>
        <v>1.4962345584215808</v>
      </c>
      <c r="M52" s="37">
        <f t="shared" si="14"/>
        <v>1.4921963305896049</v>
      </c>
      <c r="N52" s="37">
        <f t="shared" si="14"/>
        <v>1.4883545078996954</v>
      </c>
      <c r="O52" s="37">
        <f t="shared" si="14"/>
        <v>1.4847106360277056</v>
      </c>
      <c r="P52" s="37">
        <f t="shared" si="14"/>
        <v>1.4796491094770452</v>
      </c>
      <c r="Q52" s="37">
        <f t="shared" si="14"/>
        <v>1.4764079267600534</v>
      </c>
      <c r="R52" s="37">
        <f t="shared" si="14"/>
        <v>1.4701669494476968</v>
      </c>
      <c r="S52" s="37">
        <f t="shared" si="14"/>
        <v>1.4643327148462186</v>
      </c>
      <c r="T52" s="37">
        <f t="shared" si="14"/>
        <v>1.4602597558991925</v>
      </c>
      <c r="U52" s="37">
        <f t="shared" si="14"/>
        <v>1.4532180631440761</v>
      </c>
      <c r="V52" s="37">
        <f t="shared" si="14"/>
        <v>1.4479041264056549</v>
      </c>
      <c r="W52" s="37">
        <f t="shared" si="14"/>
        <v>1.4427248397994499</v>
      </c>
      <c r="X52" s="37">
        <f t="shared" si="14"/>
        <v>1.4361291913820229</v>
      </c>
      <c r="Y52" s="37">
        <f t="shared" si="14"/>
        <v>1.4326913323606152</v>
      </c>
      <c r="Z52" s="37">
        <f t="shared" si="14"/>
        <v>1.4262935437875699</v>
      </c>
      <c r="AA52" s="37">
        <f t="shared" si="14"/>
        <v>1.4199740653032868</v>
      </c>
      <c r="AB52" s="37">
        <f t="shared" si="14"/>
        <v>1.4137129166299176</v>
      </c>
    </row>
    <row r="53" spans="1:28" x14ac:dyDescent="0.25">
      <c r="A53" s="4" t="s">
        <v>220</v>
      </c>
      <c r="B53" s="37">
        <f t="shared" ref="B53:AB53" si="15">B33*B15*$F$9</f>
        <v>6.6002047193441484</v>
      </c>
      <c r="C53" s="37">
        <f t="shared" si="15"/>
        <v>6.6354741974147551</v>
      </c>
      <c r="D53" s="37">
        <f t="shared" si="15"/>
        <v>6.6505462509158262</v>
      </c>
      <c r="E53" s="37">
        <f t="shared" si="15"/>
        <v>6.6748662229393956</v>
      </c>
      <c r="F53" s="37">
        <f t="shared" si="15"/>
        <v>6.6955609286471773</v>
      </c>
      <c r="G53" s="37">
        <f t="shared" si="15"/>
        <v>6.7084568455772882</v>
      </c>
      <c r="H53" s="37">
        <f t="shared" si="15"/>
        <v>6.7392198190510069</v>
      </c>
      <c r="I53" s="37">
        <f t="shared" si="15"/>
        <v>6.7253450509908523</v>
      </c>
      <c r="J53" s="37">
        <f t="shared" si="15"/>
        <v>6.7166046275471114</v>
      </c>
      <c r="K53" s="37">
        <f t="shared" si="15"/>
        <v>6.6960672824475767</v>
      </c>
      <c r="L53" s="37">
        <f t="shared" si="15"/>
        <v>6.680522809288731</v>
      </c>
      <c r="M53" s="37">
        <f t="shared" si="15"/>
        <v>6.6535174463953579</v>
      </c>
      <c r="N53" s="37">
        <f t="shared" si="15"/>
        <v>6.6356459303409467</v>
      </c>
      <c r="O53" s="37">
        <f t="shared" si="15"/>
        <v>6.6105906918071575</v>
      </c>
      <c r="P53" s="37">
        <f t="shared" si="15"/>
        <v>6.5785117944462828</v>
      </c>
      <c r="Q53" s="37">
        <f t="shared" si="15"/>
        <v>6.5395470408765473</v>
      </c>
      <c r="R53" s="37">
        <f t="shared" si="15"/>
        <v>6.5017375263828043</v>
      </c>
      <c r="S53" s="37">
        <f t="shared" si="15"/>
        <v>6.4549328892622491</v>
      </c>
      <c r="T53" s="37">
        <f t="shared" si="15"/>
        <v>6.3936498162009983</v>
      </c>
      <c r="U53" s="37">
        <f t="shared" si="15"/>
        <v>6.3413971330668906</v>
      </c>
      <c r="V53" s="37">
        <f t="shared" si="15"/>
        <v>6.282516388965858</v>
      </c>
      <c r="W53" s="37">
        <f t="shared" si="15"/>
        <v>6.2247063017999631</v>
      </c>
      <c r="X53" s="37">
        <f t="shared" si="15"/>
        <v>6.1754556218254999</v>
      </c>
      <c r="Y53" s="37">
        <f t="shared" si="15"/>
        <v>6.1156764608533161</v>
      </c>
      <c r="Z53" s="37">
        <f t="shared" si="15"/>
        <v>6.0679850592036466</v>
      </c>
      <c r="AA53" s="37">
        <f t="shared" si="15"/>
        <v>6.009723761223853</v>
      </c>
      <c r="AB53" s="37">
        <f t="shared" si="15"/>
        <v>5.9632167768800546</v>
      </c>
    </row>
    <row r="54" spans="1:28" x14ac:dyDescent="0.25">
      <c r="A54" s="4" t="s">
        <v>221</v>
      </c>
      <c r="B54" s="37">
        <f t="shared" ref="B54:AB54" si="16">B34*B15*$F$10</f>
        <v>7.0921026916648904</v>
      </c>
      <c r="C54" s="37">
        <f t="shared" si="16"/>
        <v>7.0989069953840636</v>
      </c>
      <c r="D54" s="37">
        <f t="shared" si="16"/>
        <v>7.1018494196567641</v>
      </c>
      <c r="E54" s="37">
        <f t="shared" si="16"/>
        <v>7.1074224706182489</v>
      </c>
      <c r="F54" s="37">
        <f t="shared" si="16"/>
        <v>7.1193111518676808</v>
      </c>
      <c r="G54" s="37">
        <f t="shared" si="16"/>
        <v>7.1248108122394171</v>
      </c>
      <c r="H54" s="37">
        <f t="shared" si="16"/>
        <v>7.129491286786668</v>
      </c>
      <c r="I54" s="37">
        <f t="shared" si="16"/>
        <v>7.103316368713771</v>
      </c>
      <c r="J54" s="37">
        <f t="shared" si="16"/>
        <v>7.0747646753242162</v>
      </c>
      <c r="K54" s="37">
        <f t="shared" si="16"/>
        <v>7.0436725015377615</v>
      </c>
      <c r="L54" s="37">
        <f t="shared" si="16"/>
        <v>7.0083792386918669</v>
      </c>
      <c r="M54" s="37">
        <f t="shared" si="16"/>
        <v>6.9690041165472838</v>
      </c>
      <c r="N54" s="37">
        <f t="shared" si="16"/>
        <v>6.9256539184892194</v>
      </c>
      <c r="O54" s="37">
        <f t="shared" si="16"/>
        <v>6.8784300303538517</v>
      </c>
      <c r="P54" s="37">
        <f t="shared" si="16"/>
        <v>6.8223092782931634</v>
      </c>
      <c r="Q54" s="37">
        <f t="shared" si="16"/>
        <v>6.762536779881489</v>
      </c>
      <c r="R54" s="37">
        <f t="shared" si="16"/>
        <v>6.694120587761998</v>
      </c>
      <c r="S54" s="37">
        <f t="shared" si="16"/>
        <v>6.6208898385755548</v>
      </c>
      <c r="T54" s="37">
        <f t="shared" si="16"/>
        <v>6.5425514793112427</v>
      </c>
      <c r="U54" s="37">
        <f t="shared" si="16"/>
        <v>6.4591552739575349</v>
      </c>
      <c r="V54" s="37">
        <f t="shared" si="16"/>
        <v>6.3772655231739446</v>
      </c>
      <c r="W54" s="37">
        <f t="shared" si="16"/>
        <v>6.2886443621256971</v>
      </c>
      <c r="X54" s="37">
        <f t="shared" si="16"/>
        <v>6.2094661923725063</v>
      </c>
      <c r="Y54" s="37">
        <f t="shared" si="16"/>
        <v>6.129873696010776</v>
      </c>
      <c r="Z54" s="37">
        <f t="shared" si="16"/>
        <v>6.0513857756460645</v>
      </c>
      <c r="AA54" s="37">
        <f t="shared" si="16"/>
        <v>5.975482034734517</v>
      </c>
      <c r="AB54" s="37">
        <f t="shared" si="16"/>
        <v>5.9036065927643966</v>
      </c>
    </row>
    <row r="55" spans="1:28" x14ac:dyDescent="0.25">
      <c r="A55" s="4" t="s">
        <v>222</v>
      </c>
      <c r="B55" s="37">
        <f t="shared" ref="B55:AB55" si="17">B35*B15*$F$11</f>
        <v>136.56793532064501</v>
      </c>
      <c r="C55" s="37">
        <f t="shared" si="17"/>
        <v>134.79910384075771</v>
      </c>
      <c r="D55" s="37">
        <f t="shared" si="17"/>
        <v>132.87030078957073</v>
      </c>
      <c r="E55" s="37">
        <f t="shared" si="17"/>
        <v>130.95240758473767</v>
      </c>
      <c r="F55" s="37">
        <f t="shared" si="17"/>
        <v>128.99463333881542</v>
      </c>
      <c r="G55" s="37">
        <f t="shared" si="17"/>
        <v>127.08968216357736</v>
      </c>
      <c r="H55" s="37">
        <f t="shared" si="17"/>
        <v>125.19679450625476</v>
      </c>
      <c r="I55" s="37">
        <f t="shared" si="17"/>
        <v>122.80572608944379</v>
      </c>
      <c r="J55" s="37">
        <f t="shared" si="17"/>
        <v>120.44428391045857</v>
      </c>
      <c r="K55" s="37">
        <f t="shared" si="17"/>
        <v>118.0975708119898</v>
      </c>
      <c r="L55" s="37">
        <f t="shared" si="17"/>
        <v>115.78521566231137</v>
      </c>
      <c r="M55" s="37">
        <f t="shared" si="17"/>
        <v>113.4966642715066</v>
      </c>
      <c r="N55" s="37">
        <f t="shared" si="17"/>
        <v>111.25083297021723</v>
      </c>
      <c r="O55" s="37">
        <f t="shared" si="17"/>
        <v>109.00789346372302</v>
      </c>
      <c r="P55" s="37">
        <f t="shared" si="17"/>
        <v>106.79639272055664</v>
      </c>
      <c r="Q55" s="37">
        <f t="shared" si="17"/>
        <v>104.6151683860478</v>
      </c>
      <c r="R55" s="37">
        <f t="shared" si="17"/>
        <v>102.47248151128231</v>
      </c>
      <c r="S55" s="37">
        <f t="shared" si="17"/>
        <v>100.24259253544309</v>
      </c>
      <c r="T55" s="37">
        <f t="shared" si="17"/>
        <v>98.070460452231984</v>
      </c>
      <c r="U55" s="37">
        <f t="shared" si="17"/>
        <v>95.972414048340966</v>
      </c>
      <c r="V55" s="37">
        <f t="shared" si="17"/>
        <v>93.927074597371188</v>
      </c>
      <c r="W55" s="37">
        <f t="shared" si="17"/>
        <v>91.977861716080668</v>
      </c>
      <c r="X55" s="37">
        <f t="shared" si="17"/>
        <v>90.075822994562046</v>
      </c>
      <c r="Y55" s="37">
        <f t="shared" si="17"/>
        <v>88.246335579435822</v>
      </c>
      <c r="Z55" s="37">
        <f t="shared" si="17"/>
        <v>86.477760388147416</v>
      </c>
      <c r="AA55" s="37">
        <f t="shared" si="17"/>
        <v>84.75880528593315</v>
      </c>
      <c r="AB55" s="37">
        <f t="shared" si="17"/>
        <v>83.09632150351058</v>
      </c>
    </row>
    <row r="57" spans="1:28" x14ac:dyDescent="0.25">
      <c r="A57" s="4" t="s">
        <v>327</v>
      </c>
    </row>
    <row r="58" spans="1:28" x14ac:dyDescent="0.25">
      <c r="A58" s="4" t="s">
        <v>215</v>
      </c>
      <c r="B58" s="37">
        <f t="shared" ref="B58:AB58" si="18">B38*B15*$F$4</f>
        <v>12776.136157346677</v>
      </c>
      <c r="C58" s="37">
        <f t="shared" si="18"/>
        <v>12967.318544545464</v>
      </c>
      <c r="D58" s="37">
        <f t="shared" si="18"/>
        <v>13141.514100191122</v>
      </c>
      <c r="E58" s="37">
        <f t="shared" si="18"/>
        <v>13314.866150758744</v>
      </c>
      <c r="F58" s="37">
        <f t="shared" si="18"/>
        <v>13488.531457312551</v>
      </c>
      <c r="G58" s="37">
        <f t="shared" si="18"/>
        <v>13662.915248895257</v>
      </c>
      <c r="H58" s="37">
        <f t="shared" si="18"/>
        <v>13837.090832139173</v>
      </c>
      <c r="I58" s="37">
        <f t="shared" si="18"/>
        <v>13951.071669870751</v>
      </c>
      <c r="J58" s="37">
        <f t="shared" si="18"/>
        <v>14060.730627847513</v>
      </c>
      <c r="K58" s="37">
        <f t="shared" si="18"/>
        <v>14165.897410515654</v>
      </c>
      <c r="L58" s="37">
        <f t="shared" si="18"/>
        <v>14265.457942476891</v>
      </c>
      <c r="M58" s="37">
        <f t="shared" si="18"/>
        <v>14359.272908218501</v>
      </c>
      <c r="N58" s="37">
        <f t="shared" si="18"/>
        <v>14445.984368738846</v>
      </c>
      <c r="O58" s="37">
        <f t="shared" si="18"/>
        <v>14525.177390334076</v>
      </c>
      <c r="P58" s="37">
        <f t="shared" si="18"/>
        <v>14595.132230250145</v>
      </c>
      <c r="Q58" s="37">
        <f t="shared" si="18"/>
        <v>14655.717630146914</v>
      </c>
      <c r="R58" s="37">
        <f t="shared" si="18"/>
        <v>14704.887545513766</v>
      </c>
      <c r="S58" s="37">
        <f t="shared" si="18"/>
        <v>14728.883672110385</v>
      </c>
      <c r="T58" s="37">
        <f t="shared" si="18"/>
        <v>14741.042983813351</v>
      </c>
      <c r="U58" s="37">
        <f t="shared" si="18"/>
        <v>14742.348468851233</v>
      </c>
      <c r="V58" s="37">
        <f t="shared" si="18"/>
        <v>14729.452908098161</v>
      </c>
      <c r="W58" s="37">
        <f t="shared" si="18"/>
        <v>14703.447949552243</v>
      </c>
      <c r="X58" s="37">
        <f t="shared" si="18"/>
        <v>14663.735875463537</v>
      </c>
      <c r="Y58" s="37">
        <f t="shared" si="18"/>
        <v>14616.546720032167</v>
      </c>
      <c r="Z58" s="37">
        <f t="shared" si="18"/>
        <v>14556.677003955696</v>
      </c>
      <c r="AA58" s="37">
        <f t="shared" si="18"/>
        <v>14485.211251515571</v>
      </c>
      <c r="AB58" s="37">
        <f t="shared" si="18"/>
        <v>14403.629537321212</v>
      </c>
    </row>
    <row r="59" spans="1:28" x14ac:dyDescent="0.25">
      <c r="A59" s="4" t="s">
        <v>216</v>
      </c>
      <c r="B59" s="37">
        <f t="shared" ref="B59:AB59" si="19">B39*B15*$F$5</f>
        <v>12579.850346686924</v>
      </c>
      <c r="C59" s="37">
        <f t="shared" si="19"/>
        <v>12735.025057833436</v>
      </c>
      <c r="D59" s="37">
        <f t="shared" si="19"/>
        <v>12874.674809178394</v>
      </c>
      <c r="E59" s="37">
        <f t="shared" si="19"/>
        <v>13020.343365491741</v>
      </c>
      <c r="F59" s="37">
        <f t="shared" si="19"/>
        <v>13175.652354985295</v>
      </c>
      <c r="G59" s="37">
        <f t="shared" si="19"/>
        <v>13341.217053690036</v>
      </c>
      <c r="H59" s="37">
        <f t="shared" si="19"/>
        <v>13518.184578481751</v>
      </c>
      <c r="I59" s="37">
        <f t="shared" si="19"/>
        <v>13647.293273188014</v>
      </c>
      <c r="J59" s="37">
        <f t="shared" si="19"/>
        <v>13784.130778013128</v>
      </c>
      <c r="K59" s="37">
        <f t="shared" si="19"/>
        <v>13925.030079906946</v>
      </c>
      <c r="L59" s="37">
        <f t="shared" si="19"/>
        <v>14069.611334717678</v>
      </c>
      <c r="M59" s="37">
        <f t="shared" si="19"/>
        <v>14216.936639593694</v>
      </c>
      <c r="N59" s="37">
        <f t="shared" si="19"/>
        <v>14363.92236053102</v>
      </c>
      <c r="O59" s="37">
        <f t="shared" si="19"/>
        <v>14507.707557964468</v>
      </c>
      <c r="P59" s="37">
        <f t="shared" si="19"/>
        <v>14647.710086764779</v>
      </c>
      <c r="Q59" s="37">
        <f t="shared" si="19"/>
        <v>14779.977964904087</v>
      </c>
      <c r="R59" s="37">
        <f t="shared" si="19"/>
        <v>14903.523816871215</v>
      </c>
      <c r="S59" s="37">
        <f t="shared" si="19"/>
        <v>15001.45511156551</v>
      </c>
      <c r="T59" s="37">
        <f t="shared" si="19"/>
        <v>15086.931335929834</v>
      </c>
      <c r="U59" s="37">
        <f t="shared" si="19"/>
        <v>15158.777911756048</v>
      </c>
      <c r="V59" s="37">
        <f t="shared" si="19"/>
        <v>15213.812391262267</v>
      </c>
      <c r="W59" s="37">
        <f t="shared" si="19"/>
        <v>15249.271124343151</v>
      </c>
      <c r="X59" s="37">
        <f t="shared" si="19"/>
        <v>15266.284769567612</v>
      </c>
      <c r="Y59" s="37">
        <f t="shared" si="19"/>
        <v>15272.223523827099</v>
      </c>
      <c r="Z59" s="37">
        <f t="shared" si="19"/>
        <v>15260.720388076936</v>
      </c>
      <c r="AA59" s="37">
        <f t="shared" si="19"/>
        <v>15229.71351604212</v>
      </c>
      <c r="AB59" s="37">
        <f t="shared" si="19"/>
        <v>15179.773380019886</v>
      </c>
    </row>
    <row r="60" spans="1:28" x14ac:dyDescent="0.25">
      <c r="A60" s="4" t="s">
        <v>217</v>
      </c>
      <c r="B60" s="37">
        <f t="shared" ref="B60:AB60" si="20">B40*B15*$F$6</f>
        <v>16037.319127804791</v>
      </c>
      <c r="C60" s="37">
        <f t="shared" si="20"/>
        <v>16253.592106647468</v>
      </c>
      <c r="D60" s="37">
        <f t="shared" si="20"/>
        <v>16447.978604838492</v>
      </c>
      <c r="E60" s="37">
        <f t="shared" si="20"/>
        <v>16644.016801854112</v>
      </c>
      <c r="F60" s="37">
        <f t="shared" si="20"/>
        <v>16845.108431905657</v>
      </c>
      <c r="G60" s="37">
        <f t="shared" si="20"/>
        <v>17051.299467316283</v>
      </c>
      <c r="H60" s="37">
        <f t="shared" si="20"/>
        <v>17263.192537821153</v>
      </c>
      <c r="I60" s="37">
        <f t="shared" si="20"/>
        <v>17405.246726225203</v>
      </c>
      <c r="J60" s="37">
        <f t="shared" si="20"/>
        <v>17548.088684055656</v>
      </c>
      <c r="K60" s="37">
        <f t="shared" si="20"/>
        <v>17688.611750904762</v>
      </c>
      <c r="L60" s="37">
        <f t="shared" si="20"/>
        <v>17825.923739007616</v>
      </c>
      <c r="M60" s="37">
        <f t="shared" si="20"/>
        <v>17959.394267232357</v>
      </c>
      <c r="N60" s="37">
        <f t="shared" si="20"/>
        <v>18085.855990155924</v>
      </c>
      <c r="O60" s="37">
        <f t="shared" si="20"/>
        <v>18203.652814469846</v>
      </c>
      <c r="P60" s="37">
        <f t="shared" si="20"/>
        <v>18310.611998166041</v>
      </c>
      <c r="Q60" s="37">
        <f t="shared" si="20"/>
        <v>18404.481981334127</v>
      </c>
      <c r="R60" s="37">
        <f t="shared" si="20"/>
        <v>18483.158018277227</v>
      </c>
      <c r="S60" s="37">
        <f t="shared" si="20"/>
        <v>18527.604556753206</v>
      </c>
      <c r="T60" s="37">
        <f t="shared" si="20"/>
        <v>18554.531017539837</v>
      </c>
      <c r="U60" s="37">
        <f t="shared" si="20"/>
        <v>18564.194879111074</v>
      </c>
      <c r="V60" s="37">
        <f t="shared" si="20"/>
        <v>18551.956152050203</v>
      </c>
      <c r="W60" s="37">
        <f t="shared" si="20"/>
        <v>18516.782435804955</v>
      </c>
      <c r="X60" s="37">
        <f t="shared" si="20"/>
        <v>18459.435788144019</v>
      </c>
      <c r="Y60" s="37">
        <f t="shared" si="20"/>
        <v>18389.639546516784</v>
      </c>
      <c r="Z60" s="37">
        <f t="shared" si="20"/>
        <v>18299.391600090978</v>
      </c>
      <c r="AA60" s="37">
        <f t="shared" si="20"/>
        <v>18187.892359121892</v>
      </c>
      <c r="AB60" s="37">
        <f t="shared" si="20"/>
        <v>18057.025703372699</v>
      </c>
    </row>
    <row r="61" spans="1:28" x14ac:dyDescent="0.25">
      <c r="A61" s="4" t="s">
        <v>218</v>
      </c>
      <c r="B61" s="37">
        <f t="shared" ref="B61:AB61" si="21">B41*B15*$F$7</f>
        <v>8756.9388873977277</v>
      </c>
      <c r="C61" s="37">
        <f t="shared" si="21"/>
        <v>8860.6630473895166</v>
      </c>
      <c r="D61" s="37">
        <f t="shared" si="21"/>
        <v>8953.9975233960704</v>
      </c>
      <c r="E61" s="37">
        <f t="shared" si="21"/>
        <v>9047.9613656730562</v>
      </c>
      <c r="F61" s="37">
        <f t="shared" si="21"/>
        <v>9145.5185112669405</v>
      </c>
      <c r="G61" s="37">
        <f t="shared" si="21"/>
        <v>9246.9094546972483</v>
      </c>
      <c r="H61" s="37">
        <f t="shared" si="21"/>
        <v>9351.9066438721675</v>
      </c>
      <c r="I61" s="37">
        <f t="shared" si="21"/>
        <v>9420.9481353790634</v>
      </c>
      <c r="J61" s="37">
        <f t="shared" si="21"/>
        <v>9492.5191390370401</v>
      </c>
      <c r="K61" s="37">
        <f t="shared" si="21"/>
        <v>9565.9806233765739</v>
      </c>
      <c r="L61" s="37">
        <f t="shared" si="21"/>
        <v>9641.3203891343383</v>
      </c>
      <c r="M61" s="37">
        <f t="shared" si="21"/>
        <v>9718.0219984821542</v>
      </c>
      <c r="N61" s="37">
        <f t="shared" si="21"/>
        <v>9796.5284198789268</v>
      </c>
      <c r="O61" s="37">
        <f t="shared" si="21"/>
        <v>9874.349974883602</v>
      </c>
      <c r="P61" s="37">
        <f t="shared" si="21"/>
        <v>9952.5830894999635</v>
      </c>
      <c r="Q61" s="37">
        <f t="shared" si="21"/>
        <v>10029.213038744112</v>
      </c>
      <c r="R61" s="37">
        <f t="shared" si="21"/>
        <v>10104.028616254966</v>
      </c>
      <c r="S61" s="37">
        <f t="shared" si="21"/>
        <v>10167.370807161005</v>
      </c>
      <c r="T61" s="37">
        <f t="shared" si="21"/>
        <v>10226.812347024921</v>
      </c>
      <c r="U61" s="37">
        <f t="shared" si="21"/>
        <v>10282.555850906207</v>
      </c>
      <c r="V61" s="37">
        <f t="shared" si="21"/>
        <v>10333.45001159369</v>
      </c>
      <c r="W61" s="37">
        <f t="shared" si="21"/>
        <v>10377.647562353361</v>
      </c>
      <c r="X61" s="37">
        <f t="shared" si="21"/>
        <v>10414.543989970589</v>
      </c>
      <c r="Y61" s="37">
        <f t="shared" si="21"/>
        <v>10446.852282858388</v>
      </c>
      <c r="Z61" s="37">
        <f t="shared" si="21"/>
        <v>10471.758184385542</v>
      </c>
      <c r="AA61" s="37">
        <f t="shared" si="21"/>
        <v>10489.270800589909</v>
      </c>
      <c r="AB61" s="37">
        <f t="shared" si="21"/>
        <v>10498.407501592097</v>
      </c>
    </row>
    <row r="62" spans="1:28" x14ac:dyDescent="0.25">
      <c r="A62" s="4" t="s">
        <v>219</v>
      </c>
      <c r="B62" s="37">
        <f t="shared" ref="B62:AB62" si="22">B42*B15*$F$8</f>
        <v>213.3542579001481</v>
      </c>
      <c r="C62" s="37">
        <f t="shared" si="22"/>
        <v>217.68038368982056</v>
      </c>
      <c r="D62" s="37">
        <f t="shared" si="22"/>
        <v>221.8963733737375</v>
      </c>
      <c r="E62" s="37">
        <f t="shared" si="22"/>
        <v>226.42690416637791</v>
      </c>
      <c r="F62" s="37">
        <f t="shared" si="22"/>
        <v>231.33606899823135</v>
      </c>
      <c r="G62" s="37">
        <f t="shared" si="22"/>
        <v>236.61753921246367</v>
      </c>
      <c r="H62" s="37">
        <f t="shared" si="22"/>
        <v>242.28564106544522</v>
      </c>
      <c r="I62" s="37">
        <f t="shared" si="22"/>
        <v>247.2925460111536</v>
      </c>
      <c r="J62" s="37">
        <f t="shared" si="22"/>
        <v>252.50522663953461</v>
      </c>
      <c r="K62" s="37">
        <f t="shared" si="22"/>
        <v>257.86968659793916</v>
      </c>
      <c r="L62" s="37">
        <f t="shared" si="22"/>
        <v>263.44854500740831</v>
      </c>
      <c r="M62" s="37">
        <f t="shared" si="22"/>
        <v>269.18727153119153</v>
      </c>
      <c r="N62" s="37">
        <f t="shared" si="22"/>
        <v>275.04922294281897</v>
      </c>
      <c r="O62" s="37">
        <f t="shared" si="22"/>
        <v>280.98433369914477</v>
      </c>
      <c r="P62" s="37">
        <f t="shared" si="22"/>
        <v>286.9663143533914</v>
      </c>
      <c r="Q62" s="37">
        <f t="shared" si="22"/>
        <v>292.94019495511623</v>
      </c>
      <c r="R62" s="37">
        <f t="shared" si="22"/>
        <v>298.87920047454105</v>
      </c>
      <c r="S62" s="37">
        <f t="shared" si="22"/>
        <v>304.44189519730378</v>
      </c>
      <c r="T62" s="37">
        <f t="shared" si="22"/>
        <v>309.91144670893067</v>
      </c>
      <c r="U62" s="37">
        <f t="shared" si="22"/>
        <v>315.22188504800602</v>
      </c>
      <c r="V62" s="37">
        <f t="shared" si="22"/>
        <v>320.38521810319395</v>
      </c>
      <c r="W62" s="37">
        <f t="shared" si="22"/>
        <v>325.3814130691344</v>
      </c>
      <c r="X62" s="37">
        <f t="shared" si="22"/>
        <v>330.2393605111522</v>
      </c>
      <c r="Y62" s="37">
        <f t="shared" si="22"/>
        <v>334.93831713491426</v>
      </c>
      <c r="Z62" s="37">
        <f t="shared" si="22"/>
        <v>339.48955883352579</v>
      </c>
      <c r="AA62" s="37">
        <f t="shared" si="22"/>
        <v>343.89012883525061</v>
      </c>
      <c r="AB62" s="37">
        <f t="shared" si="22"/>
        <v>348.11600548972143</v>
      </c>
    </row>
    <row r="63" spans="1:28" x14ac:dyDescent="0.25">
      <c r="A63" s="4" t="s">
        <v>220</v>
      </c>
      <c r="B63" s="37">
        <f t="shared" ref="B63:AB63" si="23">B43*B15*$F$9</f>
        <v>291.02207014483656</v>
      </c>
      <c r="C63" s="37">
        <f t="shared" si="23"/>
        <v>296.50731304228327</v>
      </c>
      <c r="D63" s="37">
        <f t="shared" si="23"/>
        <v>301.88991615691953</v>
      </c>
      <c r="E63" s="37">
        <f t="shared" si="23"/>
        <v>307.81749462619035</v>
      </c>
      <c r="F63" s="37">
        <f t="shared" si="23"/>
        <v>313.77950016956191</v>
      </c>
      <c r="G63" s="37">
        <f t="shared" si="23"/>
        <v>320.2232617336403</v>
      </c>
      <c r="H63" s="37">
        <f t="shared" si="23"/>
        <v>326.85641041679793</v>
      </c>
      <c r="I63" s="37">
        <f t="shared" si="23"/>
        <v>332.20674641530798</v>
      </c>
      <c r="J63" s="37">
        <f t="shared" si="23"/>
        <v>337.64224994665642</v>
      </c>
      <c r="K63" s="37">
        <f t="shared" si="23"/>
        <v>343.52237480839466</v>
      </c>
      <c r="L63" s="37">
        <f t="shared" si="23"/>
        <v>349.51093253164589</v>
      </c>
      <c r="M63" s="37">
        <f t="shared" si="23"/>
        <v>355.71137333725727</v>
      </c>
      <c r="N63" s="37">
        <f t="shared" si="23"/>
        <v>361.96391400535668</v>
      </c>
      <c r="O63" s="37">
        <f t="shared" si="23"/>
        <v>368.2951082921175</v>
      </c>
      <c r="P63" s="37">
        <f t="shared" si="23"/>
        <v>374.79867562553829</v>
      </c>
      <c r="Q63" s="37">
        <f t="shared" si="23"/>
        <v>381.42177110077756</v>
      </c>
      <c r="R63" s="37">
        <f t="shared" si="23"/>
        <v>388.0887921426949</v>
      </c>
      <c r="S63" s="37">
        <f t="shared" si="23"/>
        <v>394.30519707166349</v>
      </c>
      <c r="T63" s="37">
        <f t="shared" si="23"/>
        <v>400.53991202043068</v>
      </c>
      <c r="U63" s="37">
        <f t="shared" si="23"/>
        <v>406.68666699350746</v>
      </c>
      <c r="V63" s="37">
        <f t="shared" si="23"/>
        <v>412.62890116450512</v>
      </c>
      <c r="W63" s="37">
        <f t="shared" si="23"/>
        <v>418.61914585538636</v>
      </c>
      <c r="X63" s="37">
        <f t="shared" si="23"/>
        <v>424.45433261967776</v>
      </c>
      <c r="Y63" s="37">
        <f t="shared" si="23"/>
        <v>430.25538244826265</v>
      </c>
      <c r="Z63" s="37">
        <f t="shared" si="23"/>
        <v>435.85673287205145</v>
      </c>
      <c r="AA63" s="37">
        <f t="shared" si="23"/>
        <v>441.32372929076581</v>
      </c>
      <c r="AB63" s="37">
        <f t="shared" si="23"/>
        <v>446.72336102731731</v>
      </c>
    </row>
    <row r="64" spans="1:28" x14ac:dyDescent="0.25">
      <c r="A64" s="4" t="s">
        <v>221</v>
      </c>
      <c r="B64" s="37">
        <f t="shared" ref="B64:AB64" si="24">B44*B15*$F$10</f>
        <v>461.7714038423515</v>
      </c>
      <c r="C64" s="37">
        <f t="shared" si="24"/>
        <v>476.52862620375754</v>
      </c>
      <c r="D64" s="37">
        <f t="shared" si="24"/>
        <v>490.9842978007195</v>
      </c>
      <c r="E64" s="37">
        <f t="shared" si="24"/>
        <v>505.7586343280671</v>
      </c>
      <c r="F64" s="37">
        <f t="shared" si="24"/>
        <v>520.85687581688921</v>
      </c>
      <c r="G64" s="37">
        <f t="shared" si="24"/>
        <v>536.34213858155317</v>
      </c>
      <c r="H64" s="37">
        <f t="shared" si="24"/>
        <v>552.38850979560152</v>
      </c>
      <c r="I64" s="37">
        <f t="shared" si="24"/>
        <v>566.59646884783479</v>
      </c>
      <c r="J64" s="37">
        <f t="shared" si="24"/>
        <v>581.07969215745049</v>
      </c>
      <c r="K64" s="37">
        <f t="shared" si="24"/>
        <v>595.9656066364962</v>
      </c>
      <c r="L64" s="37">
        <f t="shared" si="24"/>
        <v>611.34712030705987</v>
      </c>
      <c r="M64" s="37">
        <f t="shared" si="24"/>
        <v>627.06605229023523</v>
      </c>
      <c r="N64" s="37">
        <f t="shared" si="24"/>
        <v>643.27773512908277</v>
      </c>
      <c r="O64" s="37">
        <f t="shared" si="24"/>
        <v>659.86626219390098</v>
      </c>
      <c r="P64" s="37">
        <f t="shared" si="24"/>
        <v>676.79522523080618</v>
      </c>
      <c r="Q64" s="37">
        <f t="shared" si="24"/>
        <v>694.08741487163024</v>
      </c>
      <c r="R64" s="37">
        <f t="shared" si="24"/>
        <v>711.59628464537468</v>
      </c>
      <c r="S64" s="37">
        <f t="shared" si="24"/>
        <v>728.61840943670654</v>
      </c>
      <c r="T64" s="37">
        <f t="shared" si="24"/>
        <v>745.79119500245065</v>
      </c>
      <c r="U64" s="37">
        <f t="shared" si="24"/>
        <v>763.0593205217632</v>
      </c>
      <c r="V64" s="37">
        <f t="shared" si="24"/>
        <v>780.31671656445963</v>
      </c>
      <c r="W64" s="37">
        <f t="shared" si="24"/>
        <v>797.45303819427613</v>
      </c>
      <c r="X64" s="37">
        <f t="shared" si="24"/>
        <v>814.56261366051035</v>
      </c>
      <c r="Y64" s="37">
        <f t="shared" si="24"/>
        <v>831.47907518029274</v>
      </c>
      <c r="Z64" s="37">
        <f t="shared" si="24"/>
        <v>848.1903703725518</v>
      </c>
      <c r="AA64" s="37">
        <f t="shared" si="24"/>
        <v>864.50630255844612</v>
      </c>
      <c r="AB64" s="37">
        <f t="shared" si="24"/>
        <v>880.40557381307701</v>
      </c>
    </row>
    <row r="65" spans="1:28" x14ac:dyDescent="0.25">
      <c r="A65" s="4" t="s">
        <v>222</v>
      </c>
      <c r="B65" s="37">
        <f t="shared" ref="B65:AB65" si="25">B45*B15*$F$11</f>
        <v>27624.515713567151</v>
      </c>
      <c r="C65" s="37">
        <f t="shared" si="25"/>
        <v>27954.987178593408</v>
      </c>
      <c r="D65" s="37">
        <f t="shared" si="25"/>
        <v>28248.360736306768</v>
      </c>
      <c r="E65" s="37">
        <f t="shared" si="25"/>
        <v>28545.910762662294</v>
      </c>
      <c r="F65" s="37">
        <f t="shared" si="25"/>
        <v>28853.236130267305</v>
      </c>
      <c r="G65" s="37">
        <f t="shared" si="25"/>
        <v>29171.190647523559</v>
      </c>
      <c r="H65" s="37">
        <f t="shared" si="25"/>
        <v>29498.99449003311</v>
      </c>
      <c r="I65" s="37">
        <f t="shared" si="25"/>
        <v>29708.025077199898</v>
      </c>
      <c r="J65" s="37">
        <f t="shared" si="25"/>
        <v>29919.22474843439</v>
      </c>
      <c r="K65" s="37">
        <f t="shared" si="25"/>
        <v>30127.394867839739</v>
      </c>
      <c r="L65" s="37">
        <f t="shared" si="25"/>
        <v>30330.208204122489</v>
      </c>
      <c r="M65" s="37">
        <f t="shared" si="25"/>
        <v>30527.297533965488</v>
      </c>
      <c r="N65" s="37">
        <f t="shared" si="25"/>
        <v>30712.536566130097</v>
      </c>
      <c r="O65" s="37">
        <f t="shared" si="25"/>
        <v>30882.743396693542</v>
      </c>
      <c r="P65" s="37">
        <f t="shared" si="25"/>
        <v>31035.347815703779</v>
      </c>
      <c r="Q65" s="37">
        <f t="shared" si="25"/>
        <v>31165.458952407516</v>
      </c>
      <c r="R65" s="37">
        <f t="shared" si="25"/>
        <v>31270.259689905652</v>
      </c>
      <c r="S65" s="37">
        <f t="shared" si="25"/>
        <v>31317.272452642337</v>
      </c>
      <c r="T65" s="37">
        <f t="shared" si="25"/>
        <v>31334.487380111284</v>
      </c>
      <c r="U65" s="37">
        <f t="shared" si="25"/>
        <v>31322.049109980766</v>
      </c>
      <c r="V65" s="37">
        <f t="shared" si="25"/>
        <v>31272.767929846465</v>
      </c>
      <c r="W65" s="37">
        <f t="shared" si="25"/>
        <v>31185.38199106454</v>
      </c>
      <c r="X65" s="37">
        <f t="shared" si="25"/>
        <v>31059.944920009908</v>
      </c>
      <c r="Y65" s="37">
        <f t="shared" si="25"/>
        <v>30913.581430525865</v>
      </c>
      <c r="Z65" s="37">
        <f t="shared" si="25"/>
        <v>30732.596869702178</v>
      </c>
      <c r="AA65" s="37">
        <f t="shared" si="25"/>
        <v>30516.989640124015</v>
      </c>
      <c r="AB65" s="37">
        <f t="shared" si="25"/>
        <v>30269.350393516437</v>
      </c>
    </row>
    <row r="67" spans="1:28" x14ac:dyDescent="0.25">
      <c r="A67" s="4" t="s">
        <v>328</v>
      </c>
    </row>
    <row r="68" spans="1:28" x14ac:dyDescent="0.25">
      <c r="A68" s="4" t="s">
        <v>329</v>
      </c>
      <c r="B68" s="40">
        <f t="shared" ref="B68:AB68" si="26">B48+B49</f>
        <v>147.88556572983407</v>
      </c>
      <c r="C68" s="40">
        <f t="shared" si="26"/>
        <v>146.44085972834668</v>
      </c>
      <c r="D68" s="40">
        <f t="shared" si="26"/>
        <v>144.84412541305238</v>
      </c>
      <c r="E68" s="40">
        <f t="shared" si="26"/>
        <v>143.26872333226027</v>
      </c>
      <c r="F68" s="40">
        <f t="shared" si="26"/>
        <v>141.68972922571143</v>
      </c>
      <c r="G68" s="40">
        <f t="shared" si="26"/>
        <v>140.12502716318417</v>
      </c>
      <c r="H68" s="40">
        <f t="shared" si="26"/>
        <v>138.56665089954026</v>
      </c>
      <c r="I68" s="40">
        <f t="shared" si="26"/>
        <v>136.44344402764688</v>
      </c>
      <c r="J68" s="40">
        <f t="shared" si="26"/>
        <v>134.33563402481806</v>
      </c>
      <c r="K68" s="40">
        <f t="shared" si="26"/>
        <v>132.22658765866595</v>
      </c>
      <c r="L68" s="40">
        <f t="shared" si="26"/>
        <v>130.12784081070464</v>
      </c>
      <c r="M68" s="40">
        <f t="shared" si="26"/>
        <v>128.02817995778528</v>
      </c>
      <c r="N68" s="40">
        <f t="shared" si="26"/>
        <v>125.94401916183948</v>
      </c>
      <c r="O68" s="40">
        <f t="shared" si="26"/>
        <v>123.84701254262799</v>
      </c>
      <c r="P68" s="40">
        <f t="shared" si="26"/>
        <v>121.73153888872218</v>
      </c>
      <c r="Q68" s="40">
        <f t="shared" si="26"/>
        <v>119.62551969600995</v>
      </c>
      <c r="R68" s="40">
        <f t="shared" si="26"/>
        <v>117.50992551567404</v>
      </c>
      <c r="S68" s="40">
        <f t="shared" si="26"/>
        <v>115.29897803833771</v>
      </c>
      <c r="T68" s="40">
        <f t="shared" si="26"/>
        <v>113.11175053149351</v>
      </c>
      <c r="U68" s="40">
        <f t="shared" si="26"/>
        <v>110.96256102126827</v>
      </c>
      <c r="V68" s="40">
        <f t="shared" si="26"/>
        <v>108.86500196639506</v>
      </c>
      <c r="W68" s="40">
        <f t="shared" si="26"/>
        <v>106.81603967947837</v>
      </c>
      <c r="X68" s="40">
        <f t="shared" si="26"/>
        <v>104.84977850993977</v>
      </c>
      <c r="Y68" s="40">
        <f t="shared" si="26"/>
        <v>102.94306334238701</v>
      </c>
      <c r="Z68" s="40">
        <f t="shared" si="26"/>
        <v>101.09156305247258</v>
      </c>
      <c r="AA68" s="40">
        <f t="shared" si="26"/>
        <v>99.294254244945236</v>
      </c>
      <c r="AB68" s="40">
        <f t="shared" si="26"/>
        <v>97.564436401815556</v>
      </c>
    </row>
    <row r="69" spans="1:28" x14ac:dyDescent="0.25">
      <c r="A69" s="4" t="s">
        <v>330</v>
      </c>
      <c r="B69" s="40">
        <f t="shared" ref="B69:AB69" si="27">B50+B51+B52+B53</f>
        <v>188.81687449499225</v>
      </c>
      <c r="C69" s="40">
        <f t="shared" si="27"/>
        <v>186.31178221187676</v>
      </c>
      <c r="D69" s="40">
        <f t="shared" si="27"/>
        <v>183.64690162539958</v>
      </c>
      <c r="E69" s="40">
        <f t="shared" si="27"/>
        <v>180.97456698278037</v>
      </c>
      <c r="F69" s="40">
        <f t="shared" si="27"/>
        <v>178.28809138362675</v>
      </c>
      <c r="G69" s="40">
        <f t="shared" si="27"/>
        <v>175.63762204566029</v>
      </c>
      <c r="H69" s="40">
        <f t="shared" si="27"/>
        <v>172.951438016324</v>
      </c>
      <c r="I69" s="40">
        <f t="shared" si="27"/>
        <v>169.60509826017082</v>
      </c>
      <c r="J69" s="40">
        <f t="shared" si="27"/>
        <v>166.29937508028269</v>
      </c>
      <c r="K69" s="40">
        <f t="shared" si="27"/>
        <v>163.02073747866569</v>
      </c>
      <c r="L69" s="40">
        <f t="shared" si="27"/>
        <v>159.81806434463073</v>
      </c>
      <c r="M69" s="40">
        <f t="shared" si="27"/>
        <v>156.69946762883455</v>
      </c>
      <c r="N69" s="40">
        <f t="shared" si="27"/>
        <v>153.6154204694493</v>
      </c>
      <c r="O69" s="40">
        <f t="shared" si="27"/>
        <v>150.59727358807703</v>
      </c>
      <c r="P69" s="40">
        <f t="shared" si="27"/>
        <v>147.59990697838523</v>
      </c>
      <c r="Q69" s="40">
        <f t="shared" si="27"/>
        <v>144.66350641824732</v>
      </c>
      <c r="R69" s="40">
        <f t="shared" si="27"/>
        <v>141.76707834646652</v>
      </c>
      <c r="S69" s="40">
        <f t="shared" si="27"/>
        <v>138.76738336780639</v>
      </c>
      <c r="T69" s="40">
        <f t="shared" si="27"/>
        <v>135.82813466416053</v>
      </c>
      <c r="U69" s="40">
        <f t="shared" si="27"/>
        <v>132.94356788457102</v>
      </c>
      <c r="V69" s="40">
        <f t="shared" si="27"/>
        <v>130.14887421537517</v>
      </c>
      <c r="W69" s="40">
        <f t="shared" si="27"/>
        <v>127.39450015976212</v>
      </c>
      <c r="X69" s="40">
        <f t="shared" si="27"/>
        <v>124.75319165190881</v>
      </c>
      <c r="Y69" s="40">
        <f t="shared" si="27"/>
        <v>122.21631399349636</v>
      </c>
      <c r="Z69" s="40">
        <f t="shared" si="27"/>
        <v>119.73987261545511</v>
      </c>
      <c r="AA69" s="40">
        <f t="shared" si="27"/>
        <v>117.35493258973661</v>
      </c>
      <c r="AB69" s="40">
        <f t="shared" si="27"/>
        <v>115.0275842153231</v>
      </c>
    </row>
    <row r="70" spans="1:28" x14ac:dyDescent="0.25">
      <c r="A70" s="4" t="s">
        <v>331</v>
      </c>
      <c r="B70" s="40">
        <f t="shared" ref="B70:AB70" si="28">B54+B55</f>
        <v>143.66003801230988</v>
      </c>
      <c r="C70" s="40">
        <f t="shared" si="28"/>
        <v>141.89801083614176</v>
      </c>
      <c r="D70" s="40">
        <f t="shared" si="28"/>
        <v>139.97215020922749</v>
      </c>
      <c r="E70" s="40">
        <f t="shared" si="28"/>
        <v>138.05983005535592</v>
      </c>
      <c r="F70" s="40">
        <f t="shared" si="28"/>
        <v>136.11394449068311</v>
      </c>
      <c r="G70" s="40">
        <f t="shared" si="28"/>
        <v>134.21449297581677</v>
      </c>
      <c r="H70" s="40">
        <f t="shared" si="28"/>
        <v>132.32628579304142</v>
      </c>
      <c r="I70" s="40">
        <f t="shared" si="28"/>
        <v>129.90904245815756</v>
      </c>
      <c r="J70" s="40">
        <f t="shared" si="28"/>
        <v>127.51904858578278</v>
      </c>
      <c r="K70" s="40">
        <f t="shared" si="28"/>
        <v>125.14124331352755</v>
      </c>
      <c r="L70" s="40">
        <f t="shared" si="28"/>
        <v>122.79359490100325</v>
      </c>
      <c r="M70" s="40">
        <f t="shared" si="28"/>
        <v>120.46566838805388</v>
      </c>
      <c r="N70" s="40">
        <f t="shared" si="28"/>
        <v>118.17648688870645</v>
      </c>
      <c r="O70" s="40">
        <f t="shared" si="28"/>
        <v>115.88632349407688</v>
      </c>
      <c r="P70" s="40">
        <f t="shared" si="28"/>
        <v>113.6187019988498</v>
      </c>
      <c r="Q70" s="40">
        <f t="shared" si="28"/>
        <v>111.37770516592929</v>
      </c>
      <c r="R70" s="40">
        <f t="shared" si="28"/>
        <v>109.16660209904431</v>
      </c>
      <c r="S70" s="40">
        <f t="shared" si="28"/>
        <v>106.86348237401864</v>
      </c>
      <c r="T70" s="40">
        <f t="shared" si="28"/>
        <v>104.61301193154323</v>
      </c>
      <c r="U70" s="40">
        <f t="shared" si="28"/>
        <v>102.4315693222985</v>
      </c>
      <c r="V70" s="40">
        <f t="shared" si="28"/>
        <v>100.30434012054513</v>
      </c>
      <c r="W70" s="40">
        <f t="shared" si="28"/>
        <v>98.266506078206362</v>
      </c>
      <c r="X70" s="40">
        <f t="shared" si="28"/>
        <v>96.285289186934548</v>
      </c>
      <c r="Y70" s="40">
        <f t="shared" si="28"/>
        <v>94.376209275446598</v>
      </c>
      <c r="Z70" s="40">
        <f t="shared" si="28"/>
        <v>92.529146163793484</v>
      </c>
      <c r="AA70" s="40">
        <f t="shared" si="28"/>
        <v>90.734287320667661</v>
      </c>
      <c r="AB70" s="40">
        <f t="shared" si="28"/>
        <v>88.999928096274971</v>
      </c>
    </row>
    <row r="71" spans="1:28" x14ac:dyDescent="0.25">
      <c r="A71" s="4" t="s">
        <v>332</v>
      </c>
      <c r="B71" s="40">
        <f t="shared" ref="B71:AB71" si="29">B58+B59</f>
        <v>25355.986504033601</v>
      </c>
      <c r="C71" s="40">
        <f t="shared" si="29"/>
        <v>25702.3436023789</v>
      </c>
      <c r="D71" s="40">
        <f t="shared" si="29"/>
        <v>26016.188909369514</v>
      </c>
      <c r="E71" s="40">
        <f t="shared" si="29"/>
        <v>26335.209516250485</v>
      </c>
      <c r="F71" s="40">
        <f t="shared" si="29"/>
        <v>26664.183812297844</v>
      </c>
      <c r="G71" s="40">
        <f t="shared" si="29"/>
        <v>27004.132302585291</v>
      </c>
      <c r="H71" s="40">
        <f t="shared" si="29"/>
        <v>27355.275410620925</v>
      </c>
      <c r="I71" s="40">
        <f t="shared" si="29"/>
        <v>27598.364943058765</v>
      </c>
      <c r="J71" s="40">
        <f t="shared" si="29"/>
        <v>27844.86140586064</v>
      </c>
      <c r="K71" s="40">
        <f t="shared" si="29"/>
        <v>28090.9274904226</v>
      </c>
      <c r="L71" s="40">
        <f t="shared" si="29"/>
        <v>28335.069277194569</v>
      </c>
      <c r="M71" s="40">
        <f t="shared" si="29"/>
        <v>28576.209547812196</v>
      </c>
      <c r="N71" s="40">
        <f t="shared" si="29"/>
        <v>28809.906729269867</v>
      </c>
      <c r="O71" s="40">
        <f t="shared" si="29"/>
        <v>29032.884948298546</v>
      </c>
      <c r="P71" s="40">
        <f t="shared" si="29"/>
        <v>29242.842317014925</v>
      </c>
      <c r="Q71" s="40">
        <f t="shared" si="29"/>
        <v>29435.695595051002</v>
      </c>
      <c r="R71" s="40">
        <f t="shared" si="29"/>
        <v>29608.411362384981</v>
      </c>
      <c r="S71" s="40">
        <f t="shared" si="29"/>
        <v>29730.338783675896</v>
      </c>
      <c r="T71" s="40">
        <f t="shared" si="29"/>
        <v>29827.974319743185</v>
      </c>
      <c r="U71" s="40">
        <f t="shared" si="29"/>
        <v>29901.126380607282</v>
      </c>
      <c r="V71" s="40">
        <f t="shared" si="29"/>
        <v>29943.265299360428</v>
      </c>
      <c r="W71" s="40">
        <f t="shared" si="29"/>
        <v>29952.719073895394</v>
      </c>
      <c r="X71" s="40">
        <f t="shared" si="29"/>
        <v>29930.020645031149</v>
      </c>
      <c r="Y71" s="40">
        <f t="shared" si="29"/>
        <v>29888.770243859268</v>
      </c>
      <c r="Z71" s="40">
        <f t="shared" si="29"/>
        <v>29817.397392032632</v>
      </c>
      <c r="AA71" s="40">
        <f t="shared" si="29"/>
        <v>29714.924767557692</v>
      </c>
      <c r="AB71" s="40">
        <f t="shared" si="29"/>
        <v>29583.402917341096</v>
      </c>
    </row>
    <row r="72" spans="1:28" x14ac:dyDescent="0.25">
      <c r="A72" s="4" t="s">
        <v>333</v>
      </c>
      <c r="B72" s="40">
        <f t="shared" ref="B72:AB72" si="30">B60+B61+B62+B63</f>
        <v>25298.634343247504</v>
      </c>
      <c r="C72" s="40">
        <f t="shared" si="30"/>
        <v>25628.442850769086</v>
      </c>
      <c r="D72" s="40">
        <f t="shared" si="30"/>
        <v>25925.762417765221</v>
      </c>
      <c r="E72" s="40">
        <f t="shared" si="30"/>
        <v>26226.222566319735</v>
      </c>
      <c r="F72" s="40">
        <f t="shared" si="30"/>
        <v>26535.742512340392</v>
      </c>
      <c r="G72" s="40">
        <f t="shared" si="30"/>
        <v>26855.049722959637</v>
      </c>
      <c r="H72" s="40">
        <f t="shared" si="30"/>
        <v>27184.241233175562</v>
      </c>
      <c r="I72" s="40">
        <f t="shared" si="30"/>
        <v>27405.694154030727</v>
      </c>
      <c r="J72" s="40">
        <f t="shared" si="30"/>
        <v>27630.755299678887</v>
      </c>
      <c r="K72" s="40">
        <f t="shared" si="30"/>
        <v>27855.984435687671</v>
      </c>
      <c r="L72" s="40">
        <f t="shared" si="30"/>
        <v>28080.203605681007</v>
      </c>
      <c r="M72" s="40">
        <f t="shared" si="30"/>
        <v>28302.314910582962</v>
      </c>
      <c r="N72" s="40">
        <f t="shared" si="30"/>
        <v>28519.397546983026</v>
      </c>
      <c r="O72" s="40">
        <f t="shared" si="30"/>
        <v>28727.28223134471</v>
      </c>
      <c r="P72" s="40">
        <f t="shared" si="30"/>
        <v>28924.960077644933</v>
      </c>
      <c r="Q72" s="40">
        <f t="shared" si="30"/>
        <v>29108.056986134132</v>
      </c>
      <c r="R72" s="40">
        <f t="shared" si="30"/>
        <v>29274.154627149426</v>
      </c>
      <c r="S72" s="40">
        <f t="shared" si="30"/>
        <v>29393.722456183175</v>
      </c>
      <c r="T72" s="40">
        <f t="shared" si="30"/>
        <v>29491.794723294122</v>
      </c>
      <c r="U72" s="40">
        <f t="shared" si="30"/>
        <v>29568.659282058794</v>
      </c>
      <c r="V72" s="40">
        <f t="shared" si="30"/>
        <v>29618.420282911593</v>
      </c>
      <c r="W72" s="40">
        <f t="shared" si="30"/>
        <v>29638.43055708284</v>
      </c>
      <c r="X72" s="40">
        <f t="shared" si="30"/>
        <v>29628.673471245438</v>
      </c>
      <c r="Y72" s="40">
        <f t="shared" si="30"/>
        <v>29601.685528958351</v>
      </c>
      <c r="Z72" s="40">
        <f t="shared" si="30"/>
        <v>29546.496076182098</v>
      </c>
      <c r="AA72" s="40">
        <f t="shared" si="30"/>
        <v>29462.377017837818</v>
      </c>
      <c r="AB72" s="40">
        <f t="shared" si="30"/>
        <v>29350.272571481837</v>
      </c>
    </row>
    <row r="73" spans="1:28" x14ac:dyDescent="0.25">
      <c r="A73" s="4" t="s">
        <v>334</v>
      </c>
      <c r="B73" s="40">
        <f t="shared" ref="B73:AB73" si="31">B64+B65</f>
        <v>28086.287117409502</v>
      </c>
      <c r="C73" s="40">
        <f t="shared" si="31"/>
        <v>28431.515804797167</v>
      </c>
      <c r="D73" s="40">
        <f t="shared" si="31"/>
        <v>28739.345034107486</v>
      </c>
      <c r="E73" s="40">
        <f t="shared" si="31"/>
        <v>29051.669396990361</v>
      </c>
      <c r="F73" s="40">
        <f t="shared" si="31"/>
        <v>29374.093006084193</v>
      </c>
      <c r="G73" s="40">
        <f t="shared" si="31"/>
        <v>29707.532786105112</v>
      </c>
      <c r="H73" s="40">
        <f t="shared" si="31"/>
        <v>30051.382999828711</v>
      </c>
      <c r="I73" s="40">
        <f t="shared" si="31"/>
        <v>30274.621546047732</v>
      </c>
      <c r="J73" s="40">
        <f t="shared" si="31"/>
        <v>30500.304440591841</v>
      </c>
      <c r="K73" s="40">
        <f t="shared" si="31"/>
        <v>30723.360474476234</v>
      </c>
      <c r="L73" s="40">
        <f t="shared" si="31"/>
        <v>30941.555324429548</v>
      </c>
      <c r="M73" s="40">
        <f t="shared" si="31"/>
        <v>31154.363586255724</v>
      </c>
      <c r="N73" s="40">
        <f t="shared" si="31"/>
        <v>31355.814301259179</v>
      </c>
      <c r="O73" s="40">
        <f t="shared" si="31"/>
        <v>31542.609658887442</v>
      </c>
      <c r="P73" s="40">
        <f t="shared" si="31"/>
        <v>31712.143040934585</v>
      </c>
      <c r="Q73" s="40">
        <f t="shared" si="31"/>
        <v>31859.546367279145</v>
      </c>
      <c r="R73" s="40">
        <f t="shared" si="31"/>
        <v>31981.855974551025</v>
      </c>
      <c r="S73" s="40">
        <f t="shared" si="31"/>
        <v>32045.890862079043</v>
      </c>
      <c r="T73" s="40">
        <f t="shared" si="31"/>
        <v>32080.278575113734</v>
      </c>
      <c r="U73" s="40">
        <f t="shared" si="31"/>
        <v>32085.108430502529</v>
      </c>
      <c r="V73" s="40">
        <f t="shared" si="31"/>
        <v>32053.084646410924</v>
      </c>
      <c r="W73" s="40">
        <f t="shared" si="31"/>
        <v>31982.835029258815</v>
      </c>
      <c r="X73" s="40">
        <f t="shared" si="31"/>
        <v>31874.507533670418</v>
      </c>
      <c r="Y73" s="40">
        <f t="shared" si="31"/>
        <v>31745.060505706158</v>
      </c>
      <c r="Z73" s="40">
        <f t="shared" si="31"/>
        <v>31580.787240074729</v>
      </c>
      <c r="AA73" s="40">
        <f t="shared" si="31"/>
        <v>31381.495942682461</v>
      </c>
      <c r="AB73" s="40">
        <f t="shared" si="31"/>
        <v>31149.755967329515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80.569024830024816</v>
      </c>
      <c r="C2" s="37">
        <f>BDbDT_calcs!C48</f>
        <v>79.70587784311941</v>
      </c>
      <c r="D2" s="37">
        <f>BDbDT_calcs!D48</f>
        <v>78.756680614849145</v>
      </c>
      <c r="E2" s="37">
        <f>BDbDT_calcs!E48</f>
        <v>77.824577549598672</v>
      </c>
      <c r="F2" s="37">
        <f>BDbDT_calcs!F48</f>
        <v>76.893031737512061</v>
      </c>
      <c r="G2" s="37">
        <f>BDbDT_calcs!G48</f>
        <v>75.962139827619126</v>
      </c>
      <c r="H2" s="37">
        <f>BDbDT_calcs!H48</f>
        <v>75.032382702863046</v>
      </c>
      <c r="I2" s="37">
        <f>BDbDT_calcs!I48</f>
        <v>73.832721185447909</v>
      </c>
      <c r="J2" s="37">
        <f>BDbDT_calcs!J48</f>
        <v>72.601676233642351</v>
      </c>
      <c r="K2" s="37">
        <f>BDbDT_calcs!K48</f>
        <v>71.402877513989296</v>
      </c>
      <c r="L2" s="37">
        <f>BDbDT_calcs!L48</f>
        <v>70.178914850950932</v>
      </c>
      <c r="M2" s="37">
        <f>BDbDT_calcs!M48</f>
        <v>68.986826258648165</v>
      </c>
      <c r="N2" s="37">
        <f>BDbDT_calcs!N48</f>
        <v>67.833926353205243</v>
      </c>
      <c r="O2" s="37">
        <f>BDbDT_calcs!O48</f>
        <v>66.608062768173809</v>
      </c>
      <c r="P2" s="37">
        <f>BDbDT_calcs!P48</f>
        <v>65.429047627892587</v>
      </c>
      <c r="Q2" s="37">
        <f>BDbDT_calcs!Q48</f>
        <v>64.225052778568823</v>
      </c>
      <c r="R2" s="37">
        <f>BDbDT_calcs!R48</f>
        <v>63.035180913091835</v>
      </c>
      <c r="S2" s="37">
        <f>BDbDT_calcs!S48</f>
        <v>61.784139301986542</v>
      </c>
      <c r="T2" s="37">
        <f>BDbDT_calcs!T48</f>
        <v>60.555381995778603</v>
      </c>
      <c r="U2" s="37">
        <f>BDbDT_calcs!U48</f>
        <v>59.347797139574176</v>
      </c>
      <c r="V2" s="37">
        <f>BDbDT_calcs!V48</f>
        <v>58.160130588006211</v>
      </c>
      <c r="W2" s="37">
        <f>BDbDT_calcs!W48</f>
        <v>56.998629012650127</v>
      </c>
      <c r="X2" s="37">
        <f>BDbDT_calcs!X48</f>
        <v>55.914255100070669</v>
      </c>
      <c r="Y2" s="37">
        <f>BDbDT_calcs!Y48</f>
        <v>54.845506850734068</v>
      </c>
      <c r="Z2" s="37">
        <f>BDbDT_calcs!Z48</f>
        <v>53.828231560926035</v>
      </c>
      <c r="AA2" s="37">
        <f>BDbDT_calcs!AA48</f>
        <v>52.831377739456649</v>
      </c>
      <c r="AB2" s="37">
        <f>BDbDT_calcs!AB48</f>
        <v>51.846595343164616</v>
      </c>
    </row>
    <row r="3" spans="1:28" x14ac:dyDescent="0.25">
      <c r="A3" s="4" t="s">
        <v>216</v>
      </c>
      <c r="B3" s="37">
        <f>BDbDT_calcs!B49</f>
        <v>67.31654089980924</v>
      </c>
      <c r="C3" s="37">
        <f>BDbDT_calcs!C49</f>
        <v>66.73498188522727</v>
      </c>
      <c r="D3" s="37">
        <f>BDbDT_calcs!D49</f>
        <v>66.087444798203236</v>
      </c>
      <c r="E3" s="37">
        <f>BDbDT_calcs!E49</f>
        <v>65.444145782661607</v>
      </c>
      <c r="F3" s="37">
        <f>BDbDT_calcs!F49</f>
        <v>64.796697488199371</v>
      </c>
      <c r="G3" s="37">
        <f>BDbDT_calcs!G49</f>
        <v>64.162887335565046</v>
      </c>
      <c r="H3" s="37">
        <f>BDbDT_calcs!H49</f>
        <v>63.534268196677218</v>
      </c>
      <c r="I3" s="37">
        <f>BDbDT_calcs!I49</f>
        <v>62.61072284219896</v>
      </c>
      <c r="J3" s="37">
        <f>BDbDT_calcs!J49</f>
        <v>61.733957791175712</v>
      </c>
      <c r="K3" s="37">
        <f>BDbDT_calcs!K49</f>
        <v>60.823710144676639</v>
      </c>
      <c r="L3" s="37">
        <f>BDbDT_calcs!L49</f>
        <v>59.948925959753709</v>
      </c>
      <c r="M3" s="37">
        <f>BDbDT_calcs!M49</f>
        <v>59.041353699137112</v>
      </c>
      <c r="N3" s="37">
        <f>BDbDT_calcs!N49</f>
        <v>58.110092808634235</v>
      </c>
      <c r="O3" s="37">
        <f>BDbDT_calcs!O49</f>
        <v>57.238949774454191</v>
      </c>
      <c r="P3" s="37">
        <f>BDbDT_calcs!P49</f>
        <v>56.302491260829605</v>
      </c>
      <c r="Q3" s="37">
        <f>BDbDT_calcs!Q49</f>
        <v>55.400466917441115</v>
      </c>
      <c r="R3" s="37">
        <f>BDbDT_calcs!R49</f>
        <v>54.474744602582213</v>
      </c>
      <c r="S3" s="37">
        <f>BDbDT_calcs!S49</f>
        <v>53.514838736351173</v>
      </c>
      <c r="T3" s="37">
        <f>BDbDT_calcs!T49</f>
        <v>52.55636853571491</v>
      </c>
      <c r="U3" s="37">
        <f>BDbDT_calcs!U49</f>
        <v>51.614763881694095</v>
      </c>
      <c r="V3" s="37">
        <f>BDbDT_calcs!V49</f>
        <v>50.704871378388852</v>
      </c>
      <c r="W3" s="37">
        <f>BDbDT_calcs!W49</f>
        <v>49.817410666828245</v>
      </c>
      <c r="X3" s="37">
        <f>BDbDT_calcs!X49</f>
        <v>48.935523409869099</v>
      </c>
      <c r="Y3" s="37">
        <f>BDbDT_calcs!Y49</f>
        <v>48.097556491652945</v>
      </c>
      <c r="Z3" s="37">
        <f>BDbDT_calcs!Z49</f>
        <v>47.263331491546545</v>
      </c>
      <c r="AA3" s="37">
        <f>BDbDT_calcs!AA49</f>
        <v>46.462876505488587</v>
      </c>
      <c r="AB3" s="37">
        <f>BDbDT_calcs!AB49</f>
        <v>45.717841058650947</v>
      </c>
    </row>
    <row r="4" spans="1:28" x14ac:dyDescent="0.25">
      <c r="A4" s="4" t="s">
        <v>217</v>
      </c>
      <c r="B4" s="37">
        <f>BDbDT_calcs!B50</f>
        <v>67.441125891623699</v>
      </c>
      <c r="C4" s="37">
        <f>BDbDT_calcs!C50</f>
        <v>66.782533694269333</v>
      </c>
      <c r="D4" s="37">
        <f>BDbDT_calcs!D50</f>
        <v>66.065274857700302</v>
      </c>
      <c r="E4" s="37">
        <f>BDbDT_calcs!E50</f>
        <v>65.348173472443406</v>
      </c>
      <c r="F4" s="37">
        <f>BDbDT_calcs!F50</f>
        <v>64.638433133741245</v>
      </c>
      <c r="G4" s="37">
        <f>BDbDT_calcs!G50</f>
        <v>63.942792398440353</v>
      </c>
      <c r="H4" s="37">
        <f>BDbDT_calcs!H50</f>
        <v>63.234794636936435</v>
      </c>
      <c r="I4" s="37">
        <f>BDbDT_calcs!I50</f>
        <v>62.284119334286856</v>
      </c>
      <c r="J4" s="37">
        <f>BDbDT_calcs!J50</f>
        <v>61.321774526447328</v>
      </c>
      <c r="K4" s="37">
        <f>BDbDT_calcs!K50</f>
        <v>60.352463903930143</v>
      </c>
      <c r="L4" s="37">
        <f>BDbDT_calcs!L50</f>
        <v>59.369978830830583</v>
      </c>
      <c r="M4" s="37">
        <f>BDbDT_calcs!M50</f>
        <v>58.374668660458305</v>
      </c>
      <c r="N4" s="37">
        <f>BDbDT_calcs!N50</f>
        <v>57.366794492579636</v>
      </c>
      <c r="O4" s="37">
        <f>BDbDT_calcs!O50</f>
        <v>56.327527943893962</v>
      </c>
      <c r="P4" s="37">
        <f>BDbDT_calcs!P50</f>
        <v>55.28263044594069</v>
      </c>
      <c r="Q4" s="37">
        <f>BDbDT_calcs!Q50</f>
        <v>54.225695554398627</v>
      </c>
      <c r="R4" s="37">
        <f>BDbDT_calcs!R50</f>
        <v>53.15663619434212</v>
      </c>
      <c r="S4" s="37">
        <f>BDbDT_calcs!S50</f>
        <v>52.037908229658754</v>
      </c>
      <c r="T4" s="37">
        <f>BDbDT_calcs!T50</f>
        <v>50.938874276289511</v>
      </c>
      <c r="U4" s="37">
        <f>BDbDT_calcs!U50</f>
        <v>49.858565298993454</v>
      </c>
      <c r="V4" s="37">
        <f>BDbDT_calcs!V50</f>
        <v>48.80195305519873</v>
      </c>
      <c r="W4" s="37">
        <f>BDbDT_calcs!W50</f>
        <v>47.779842152409458</v>
      </c>
      <c r="X4" s="37">
        <f>BDbDT_calcs!X50</f>
        <v>46.79678863564007</v>
      </c>
      <c r="Y4" s="37">
        <f>BDbDT_calcs!Y50</f>
        <v>45.839687428503844</v>
      </c>
      <c r="Z4" s="37">
        <f>BDbDT_calcs!Z50</f>
        <v>44.913298638304738</v>
      </c>
      <c r="AA4" s="37">
        <f>BDbDT_calcs!AA50</f>
        <v>44.028138900743265</v>
      </c>
      <c r="AB4" s="37">
        <f>BDbDT_calcs!AB50</f>
        <v>43.171208110794595</v>
      </c>
    </row>
    <row r="5" spans="1:28" x14ac:dyDescent="0.25">
      <c r="A5" s="4" t="s">
        <v>218</v>
      </c>
      <c r="B5" s="37">
        <f>BDbDT_calcs!B51</f>
        <v>113.26800598137102</v>
      </c>
      <c r="C5" s="37">
        <f>BDbDT_calcs!C51</f>
        <v>111.38581380394047</v>
      </c>
      <c r="D5" s="37">
        <f>BDbDT_calcs!D51</f>
        <v>109.42428877729012</v>
      </c>
      <c r="E5" s="37">
        <f>BDbDT_calcs!E51</f>
        <v>107.44398772166336</v>
      </c>
      <c r="F5" s="37">
        <f>BDbDT_calcs!F51</f>
        <v>105.44562368444925</v>
      </c>
      <c r="G5" s="37">
        <f>BDbDT_calcs!G51</f>
        <v>103.47677158686099</v>
      </c>
      <c r="H5" s="37">
        <f>BDbDT_calcs!H51</f>
        <v>101.46648572399727</v>
      </c>
      <c r="I5" s="37">
        <f>BDbDT_calcs!I51</f>
        <v>99.089522954659557</v>
      </c>
      <c r="J5" s="37">
        <f>BDbDT_calcs!J51</f>
        <v>96.759473215218648</v>
      </c>
      <c r="K5" s="37">
        <f>BDbDT_calcs!K51</f>
        <v>94.471738532727329</v>
      </c>
      <c r="L5" s="37">
        <f>BDbDT_calcs!L51</f>
        <v>92.271328146089843</v>
      </c>
      <c r="M5" s="37">
        <f>BDbDT_calcs!M51</f>
        <v>90.17908519139128</v>
      </c>
      <c r="N5" s="37">
        <f>BDbDT_calcs!N51</f>
        <v>88.124625538629033</v>
      </c>
      <c r="O5" s="37">
        <f>BDbDT_calcs!O51</f>
        <v>86.174444316348215</v>
      </c>
      <c r="P5" s="37">
        <f>BDbDT_calcs!P51</f>
        <v>84.259115628521229</v>
      </c>
      <c r="Q5" s="37">
        <f>BDbDT_calcs!Q51</f>
        <v>82.421855896212065</v>
      </c>
      <c r="R5" s="37">
        <f>BDbDT_calcs!R51</f>
        <v>80.638537676293879</v>
      </c>
      <c r="S5" s="37">
        <f>BDbDT_calcs!S51</f>
        <v>78.810209534039174</v>
      </c>
      <c r="T5" s="37">
        <f>BDbDT_calcs!T51</f>
        <v>77.03535081577084</v>
      </c>
      <c r="U5" s="37">
        <f>BDbDT_calcs!U51</f>
        <v>75.290387389366614</v>
      </c>
      <c r="V5" s="37">
        <f>BDbDT_calcs!V51</f>
        <v>73.616500644804916</v>
      </c>
      <c r="W5" s="37">
        <f>BDbDT_calcs!W51</f>
        <v>71.947226865753237</v>
      </c>
      <c r="X5" s="37">
        <f>BDbDT_calcs!X51</f>
        <v>70.344818203061209</v>
      </c>
      <c r="Y5" s="37">
        <f>BDbDT_calcs!Y51</f>
        <v>68.828258771778565</v>
      </c>
      <c r="Z5" s="37">
        <f>BDbDT_calcs!Z51</f>
        <v>67.332295374159159</v>
      </c>
      <c r="AA5" s="37">
        <f>BDbDT_calcs!AA51</f>
        <v>65.897095862466188</v>
      </c>
      <c r="AB5" s="37">
        <f>BDbDT_calcs!AB51</f>
        <v>64.479446411018529</v>
      </c>
    </row>
    <row r="6" spans="1:28" x14ac:dyDescent="0.25">
      <c r="A6" s="4" t="s">
        <v>219</v>
      </c>
      <c r="B6" s="37">
        <f>BDbDT_calcs!B52</f>
        <v>1.5075379026534228</v>
      </c>
      <c r="C6" s="37">
        <f>BDbDT_calcs!C52</f>
        <v>1.5079605162521847</v>
      </c>
      <c r="D6" s="37">
        <f>BDbDT_calcs!D52</f>
        <v>1.5067917394933381</v>
      </c>
      <c r="E6" s="37">
        <f>BDbDT_calcs!E52</f>
        <v>1.5075395657342106</v>
      </c>
      <c r="F6" s="37">
        <f>BDbDT_calcs!F52</f>
        <v>1.5084736367890754</v>
      </c>
      <c r="G6" s="37">
        <f>BDbDT_calcs!G52</f>
        <v>1.5096012147816424</v>
      </c>
      <c r="H6" s="37">
        <f>BDbDT_calcs!H52</f>
        <v>1.5109378363392831</v>
      </c>
      <c r="I6" s="37">
        <f>BDbDT_calcs!I52</f>
        <v>1.5061109202335448</v>
      </c>
      <c r="J6" s="37">
        <f>BDbDT_calcs!J52</f>
        <v>1.501522711069605</v>
      </c>
      <c r="K6" s="37">
        <f>BDbDT_calcs!K52</f>
        <v>1.5004677595606548</v>
      </c>
      <c r="L6" s="37">
        <f>BDbDT_calcs!L52</f>
        <v>1.4962345584215808</v>
      </c>
      <c r="M6" s="37">
        <f>BDbDT_calcs!M52</f>
        <v>1.4921963305896049</v>
      </c>
      <c r="N6" s="37">
        <f>BDbDT_calcs!N52</f>
        <v>1.4883545078996954</v>
      </c>
      <c r="O6" s="37">
        <f>BDbDT_calcs!O52</f>
        <v>1.4847106360277056</v>
      </c>
      <c r="P6" s="37">
        <f>BDbDT_calcs!P52</f>
        <v>1.4796491094770452</v>
      </c>
      <c r="Q6" s="37">
        <f>BDbDT_calcs!Q52</f>
        <v>1.4764079267600534</v>
      </c>
      <c r="R6" s="37">
        <f>BDbDT_calcs!R52</f>
        <v>1.4701669494476968</v>
      </c>
      <c r="S6" s="37">
        <f>BDbDT_calcs!S52</f>
        <v>1.4643327148462186</v>
      </c>
      <c r="T6" s="37">
        <f>BDbDT_calcs!T52</f>
        <v>1.4602597558991925</v>
      </c>
      <c r="U6" s="37">
        <f>BDbDT_calcs!U52</f>
        <v>1.4532180631440761</v>
      </c>
      <c r="V6" s="37">
        <f>BDbDT_calcs!V52</f>
        <v>1.4479041264056549</v>
      </c>
      <c r="W6" s="37">
        <f>BDbDT_calcs!W52</f>
        <v>1.4427248397994499</v>
      </c>
      <c r="X6" s="37">
        <f>BDbDT_calcs!X52</f>
        <v>1.4361291913820229</v>
      </c>
      <c r="Y6" s="37">
        <f>BDbDT_calcs!Y52</f>
        <v>1.4326913323606152</v>
      </c>
      <c r="Z6" s="37">
        <f>BDbDT_calcs!Z52</f>
        <v>1.4262935437875699</v>
      </c>
      <c r="AA6" s="37">
        <f>BDbDT_calcs!AA52</f>
        <v>1.4199740653032868</v>
      </c>
      <c r="AB6" s="37">
        <f>BDbDT_calcs!AB52</f>
        <v>1.4137129166299176</v>
      </c>
    </row>
    <row r="7" spans="1:28" x14ac:dyDescent="0.25">
      <c r="A7" s="4" t="s">
        <v>220</v>
      </c>
      <c r="B7" s="37">
        <f>BDbDT_calcs!B53</f>
        <v>6.6002047193441484</v>
      </c>
      <c r="C7" s="37">
        <f>BDbDT_calcs!C53</f>
        <v>6.6354741974147551</v>
      </c>
      <c r="D7" s="37">
        <f>BDbDT_calcs!D53</f>
        <v>6.6505462509158262</v>
      </c>
      <c r="E7" s="37">
        <f>BDbDT_calcs!E53</f>
        <v>6.6748662229393956</v>
      </c>
      <c r="F7" s="37">
        <f>BDbDT_calcs!F53</f>
        <v>6.6955609286471773</v>
      </c>
      <c r="G7" s="37">
        <f>BDbDT_calcs!G53</f>
        <v>6.7084568455772882</v>
      </c>
      <c r="H7" s="37">
        <f>BDbDT_calcs!H53</f>
        <v>6.7392198190510069</v>
      </c>
      <c r="I7" s="37">
        <f>BDbDT_calcs!I53</f>
        <v>6.7253450509908523</v>
      </c>
      <c r="J7" s="37">
        <f>BDbDT_calcs!J53</f>
        <v>6.7166046275471114</v>
      </c>
      <c r="K7" s="37">
        <f>BDbDT_calcs!K53</f>
        <v>6.6960672824475767</v>
      </c>
      <c r="L7" s="37">
        <f>BDbDT_calcs!L53</f>
        <v>6.680522809288731</v>
      </c>
      <c r="M7" s="37">
        <f>BDbDT_calcs!M53</f>
        <v>6.6535174463953579</v>
      </c>
      <c r="N7" s="37">
        <f>BDbDT_calcs!N53</f>
        <v>6.6356459303409467</v>
      </c>
      <c r="O7" s="37">
        <f>BDbDT_calcs!O53</f>
        <v>6.6105906918071575</v>
      </c>
      <c r="P7" s="37">
        <f>BDbDT_calcs!P53</f>
        <v>6.5785117944462828</v>
      </c>
      <c r="Q7" s="37">
        <f>BDbDT_calcs!Q53</f>
        <v>6.5395470408765473</v>
      </c>
      <c r="R7" s="37">
        <f>BDbDT_calcs!R53</f>
        <v>6.5017375263828043</v>
      </c>
      <c r="S7" s="37">
        <f>BDbDT_calcs!S53</f>
        <v>6.4549328892622491</v>
      </c>
      <c r="T7" s="37">
        <f>BDbDT_calcs!T53</f>
        <v>6.3936498162009983</v>
      </c>
      <c r="U7" s="37">
        <f>BDbDT_calcs!U53</f>
        <v>6.3413971330668906</v>
      </c>
      <c r="V7" s="37">
        <f>BDbDT_calcs!V53</f>
        <v>6.282516388965858</v>
      </c>
      <c r="W7" s="37">
        <f>BDbDT_calcs!W53</f>
        <v>6.2247063017999631</v>
      </c>
      <c r="X7" s="37">
        <f>BDbDT_calcs!X53</f>
        <v>6.1754556218254999</v>
      </c>
      <c r="Y7" s="37">
        <f>BDbDT_calcs!Y53</f>
        <v>6.1156764608533161</v>
      </c>
      <c r="Z7" s="37">
        <f>BDbDT_calcs!Z53</f>
        <v>6.0679850592036466</v>
      </c>
      <c r="AA7" s="37">
        <f>BDbDT_calcs!AA53</f>
        <v>6.009723761223853</v>
      </c>
      <c r="AB7" s="37">
        <f>BDbDT_calcs!AB53</f>
        <v>5.9632167768800546</v>
      </c>
    </row>
    <row r="8" spans="1:28" x14ac:dyDescent="0.25">
      <c r="A8" s="4" t="s">
        <v>221</v>
      </c>
      <c r="B8" s="37">
        <f>BDbDT_calcs!B54</f>
        <v>7.0921026916648904</v>
      </c>
      <c r="C8" s="37">
        <f>BDbDT_calcs!C54</f>
        <v>7.0989069953840636</v>
      </c>
      <c r="D8" s="37">
        <f>BDbDT_calcs!D54</f>
        <v>7.1018494196567641</v>
      </c>
      <c r="E8" s="37">
        <f>BDbDT_calcs!E54</f>
        <v>7.1074224706182489</v>
      </c>
      <c r="F8" s="37">
        <f>BDbDT_calcs!F54</f>
        <v>7.1193111518676808</v>
      </c>
      <c r="G8" s="37">
        <f>BDbDT_calcs!G54</f>
        <v>7.1248108122394171</v>
      </c>
      <c r="H8" s="37">
        <f>BDbDT_calcs!H54</f>
        <v>7.129491286786668</v>
      </c>
      <c r="I8" s="37">
        <f>BDbDT_calcs!I54</f>
        <v>7.103316368713771</v>
      </c>
      <c r="J8" s="37">
        <f>BDbDT_calcs!J54</f>
        <v>7.0747646753242162</v>
      </c>
      <c r="K8" s="37">
        <f>BDbDT_calcs!K54</f>
        <v>7.0436725015377615</v>
      </c>
      <c r="L8" s="37">
        <f>BDbDT_calcs!L54</f>
        <v>7.0083792386918669</v>
      </c>
      <c r="M8" s="37">
        <f>BDbDT_calcs!M54</f>
        <v>6.9690041165472838</v>
      </c>
      <c r="N8" s="37">
        <f>BDbDT_calcs!N54</f>
        <v>6.9256539184892194</v>
      </c>
      <c r="O8" s="37">
        <f>BDbDT_calcs!O54</f>
        <v>6.8784300303538517</v>
      </c>
      <c r="P8" s="37">
        <f>BDbDT_calcs!P54</f>
        <v>6.8223092782931634</v>
      </c>
      <c r="Q8" s="37">
        <f>BDbDT_calcs!Q54</f>
        <v>6.762536779881489</v>
      </c>
      <c r="R8" s="37">
        <f>BDbDT_calcs!R54</f>
        <v>6.694120587761998</v>
      </c>
      <c r="S8" s="37">
        <f>BDbDT_calcs!S54</f>
        <v>6.6208898385755548</v>
      </c>
      <c r="T8" s="37">
        <f>BDbDT_calcs!T54</f>
        <v>6.5425514793112427</v>
      </c>
      <c r="U8" s="37">
        <f>BDbDT_calcs!U54</f>
        <v>6.4591552739575349</v>
      </c>
      <c r="V8" s="37">
        <f>BDbDT_calcs!V54</f>
        <v>6.3772655231739446</v>
      </c>
      <c r="W8" s="37">
        <f>BDbDT_calcs!W54</f>
        <v>6.2886443621256971</v>
      </c>
      <c r="X8" s="37">
        <f>BDbDT_calcs!X54</f>
        <v>6.2094661923725063</v>
      </c>
      <c r="Y8" s="37">
        <f>BDbDT_calcs!Y54</f>
        <v>6.129873696010776</v>
      </c>
      <c r="Z8" s="37">
        <f>BDbDT_calcs!Z54</f>
        <v>6.0513857756460645</v>
      </c>
      <c r="AA8" s="37">
        <f>BDbDT_calcs!AA54</f>
        <v>5.975482034734517</v>
      </c>
      <c r="AB8" s="37">
        <f>BDbDT_calcs!AB54</f>
        <v>5.9036065927643966</v>
      </c>
    </row>
    <row r="9" spans="1:28" x14ac:dyDescent="0.25">
      <c r="A9" s="4" t="s">
        <v>222</v>
      </c>
      <c r="B9" s="37">
        <f>BDbDT_calcs!B55</f>
        <v>136.56793532064501</v>
      </c>
      <c r="C9" s="37">
        <f>BDbDT_calcs!C55</f>
        <v>134.79910384075771</v>
      </c>
      <c r="D9" s="37">
        <f>BDbDT_calcs!D55</f>
        <v>132.87030078957073</v>
      </c>
      <c r="E9" s="37">
        <f>BDbDT_calcs!E55</f>
        <v>130.95240758473767</v>
      </c>
      <c r="F9" s="37">
        <f>BDbDT_calcs!F55</f>
        <v>128.99463333881542</v>
      </c>
      <c r="G9" s="37">
        <f>BDbDT_calcs!G55</f>
        <v>127.08968216357736</v>
      </c>
      <c r="H9" s="37">
        <f>BDbDT_calcs!H55</f>
        <v>125.19679450625476</v>
      </c>
      <c r="I9" s="37">
        <f>BDbDT_calcs!I55</f>
        <v>122.80572608944379</v>
      </c>
      <c r="J9" s="37">
        <f>BDbDT_calcs!J55</f>
        <v>120.44428391045857</v>
      </c>
      <c r="K9" s="37">
        <f>BDbDT_calcs!K55</f>
        <v>118.0975708119898</v>
      </c>
      <c r="L9" s="37">
        <f>BDbDT_calcs!L55</f>
        <v>115.78521566231137</v>
      </c>
      <c r="M9" s="37">
        <f>BDbDT_calcs!M55</f>
        <v>113.4966642715066</v>
      </c>
      <c r="N9" s="37">
        <f>BDbDT_calcs!N55</f>
        <v>111.25083297021723</v>
      </c>
      <c r="O9" s="37">
        <f>BDbDT_calcs!O55</f>
        <v>109.00789346372302</v>
      </c>
      <c r="P9" s="37">
        <f>BDbDT_calcs!P55</f>
        <v>106.79639272055664</v>
      </c>
      <c r="Q9" s="37">
        <f>BDbDT_calcs!Q55</f>
        <v>104.6151683860478</v>
      </c>
      <c r="R9" s="37">
        <f>BDbDT_calcs!R55</f>
        <v>102.47248151128231</v>
      </c>
      <c r="S9" s="37">
        <f>BDbDT_calcs!S55</f>
        <v>100.24259253544309</v>
      </c>
      <c r="T9" s="37">
        <f>BDbDT_calcs!T55</f>
        <v>98.070460452231984</v>
      </c>
      <c r="U9" s="37">
        <f>BDbDT_calcs!U55</f>
        <v>95.972414048340966</v>
      </c>
      <c r="V9" s="37">
        <f>BDbDT_calcs!V55</f>
        <v>93.927074597371188</v>
      </c>
      <c r="W9" s="37">
        <f>BDbDT_calcs!W55</f>
        <v>91.977861716080668</v>
      </c>
      <c r="X9" s="37">
        <f>BDbDT_calcs!X55</f>
        <v>90.075822994562046</v>
      </c>
      <c r="Y9" s="37">
        <f>BDbDT_calcs!Y55</f>
        <v>88.246335579435822</v>
      </c>
      <c r="Z9" s="37">
        <f>BDbDT_calcs!Z55</f>
        <v>86.477760388147416</v>
      </c>
      <c r="AA9" s="37">
        <f>BDbDT_calcs!AA55</f>
        <v>84.75880528593315</v>
      </c>
      <c r="AB9" s="37">
        <f>BDbDT_calcs!AB55</f>
        <v>83.09632150351058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12776.136157346677</v>
      </c>
      <c r="C2" s="37">
        <f>BDbDT_calcs!C58</f>
        <v>12967.318544545464</v>
      </c>
      <c r="D2" s="37">
        <f>BDbDT_calcs!D58</f>
        <v>13141.514100191122</v>
      </c>
      <c r="E2" s="37">
        <f>BDbDT_calcs!E58</f>
        <v>13314.866150758744</v>
      </c>
      <c r="F2" s="37">
        <f>BDbDT_calcs!F58</f>
        <v>13488.531457312551</v>
      </c>
      <c r="G2" s="37">
        <f>BDbDT_calcs!G58</f>
        <v>13662.915248895257</v>
      </c>
      <c r="H2" s="37">
        <f>BDbDT_calcs!H58</f>
        <v>13837.090832139173</v>
      </c>
      <c r="I2" s="37">
        <f>BDbDT_calcs!I58</f>
        <v>13951.071669870751</v>
      </c>
      <c r="J2" s="37">
        <f>BDbDT_calcs!J58</f>
        <v>14060.730627847513</v>
      </c>
      <c r="K2" s="37">
        <f>BDbDT_calcs!K58</f>
        <v>14165.897410515654</v>
      </c>
      <c r="L2" s="37">
        <f>BDbDT_calcs!L58</f>
        <v>14265.457942476891</v>
      </c>
      <c r="M2" s="37">
        <f>BDbDT_calcs!M58</f>
        <v>14359.272908218501</v>
      </c>
      <c r="N2" s="37">
        <f>BDbDT_calcs!N58</f>
        <v>14445.984368738846</v>
      </c>
      <c r="O2" s="37">
        <f>BDbDT_calcs!O58</f>
        <v>14525.177390334076</v>
      </c>
      <c r="P2" s="37">
        <f>BDbDT_calcs!P58</f>
        <v>14595.132230250145</v>
      </c>
      <c r="Q2" s="37">
        <f>BDbDT_calcs!Q58</f>
        <v>14655.717630146914</v>
      </c>
      <c r="R2" s="37">
        <f>BDbDT_calcs!R58</f>
        <v>14704.887545513766</v>
      </c>
      <c r="S2" s="37">
        <f>BDbDT_calcs!S58</f>
        <v>14728.883672110385</v>
      </c>
      <c r="T2" s="37">
        <f>BDbDT_calcs!T58</f>
        <v>14741.042983813351</v>
      </c>
      <c r="U2" s="37">
        <f>BDbDT_calcs!U58</f>
        <v>14742.348468851233</v>
      </c>
      <c r="V2" s="37">
        <f>BDbDT_calcs!V58</f>
        <v>14729.452908098161</v>
      </c>
      <c r="W2" s="37">
        <f>BDbDT_calcs!W58</f>
        <v>14703.447949552243</v>
      </c>
      <c r="X2" s="37">
        <f>BDbDT_calcs!X58</f>
        <v>14663.735875463537</v>
      </c>
      <c r="Y2" s="37">
        <f>BDbDT_calcs!Y58</f>
        <v>14616.546720032167</v>
      </c>
      <c r="Z2" s="37">
        <f>BDbDT_calcs!Z58</f>
        <v>14556.677003955696</v>
      </c>
      <c r="AA2" s="37">
        <f>BDbDT_calcs!AA58</f>
        <v>14485.211251515571</v>
      </c>
      <c r="AB2" s="37">
        <f>BDbDT_calcs!AB58</f>
        <v>14403.629537321212</v>
      </c>
    </row>
    <row r="3" spans="1:28" x14ac:dyDescent="0.25">
      <c r="A3" s="4" t="s">
        <v>216</v>
      </c>
      <c r="B3" s="37">
        <f>BDbDT_calcs!B59</f>
        <v>12579.850346686924</v>
      </c>
      <c r="C3" s="37">
        <f>BDbDT_calcs!C59</f>
        <v>12735.025057833436</v>
      </c>
      <c r="D3" s="37">
        <f>BDbDT_calcs!D59</f>
        <v>12874.674809178394</v>
      </c>
      <c r="E3" s="37">
        <f>BDbDT_calcs!E59</f>
        <v>13020.343365491741</v>
      </c>
      <c r="F3" s="37">
        <f>BDbDT_calcs!F59</f>
        <v>13175.652354985295</v>
      </c>
      <c r="G3" s="37">
        <f>BDbDT_calcs!G59</f>
        <v>13341.217053690036</v>
      </c>
      <c r="H3" s="37">
        <f>BDbDT_calcs!H59</f>
        <v>13518.184578481751</v>
      </c>
      <c r="I3" s="37">
        <f>BDbDT_calcs!I59</f>
        <v>13647.293273188014</v>
      </c>
      <c r="J3" s="37">
        <f>BDbDT_calcs!J59</f>
        <v>13784.130778013128</v>
      </c>
      <c r="K3" s="37">
        <f>BDbDT_calcs!K59</f>
        <v>13925.030079906946</v>
      </c>
      <c r="L3" s="37">
        <f>BDbDT_calcs!L59</f>
        <v>14069.611334717678</v>
      </c>
      <c r="M3" s="37">
        <f>BDbDT_calcs!M59</f>
        <v>14216.936639593694</v>
      </c>
      <c r="N3" s="37">
        <f>BDbDT_calcs!N59</f>
        <v>14363.92236053102</v>
      </c>
      <c r="O3" s="37">
        <f>BDbDT_calcs!O59</f>
        <v>14507.707557964468</v>
      </c>
      <c r="P3" s="37">
        <f>BDbDT_calcs!P59</f>
        <v>14647.710086764779</v>
      </c>
      <c r="Q3" s="37">
        <f>BDbDT_calcs!Q59</f>
        <v>14779.977964904087</v>
      </c>
      <c r="R3" s="37">
        <f>BDbDT_calcs!R59</f>
        <v>14903.523816871215</v>
      </c>
      <c r="S3" s="37">
        <f>BDbDT_calcs!S59</f>
        <v>15001.45511156551</v>
      </c>
      <c r="T3" s="37">
        <f>BDbDT_calcs!T59</f>
        <v>15086.931335929834</v>
      </c>
      <c r="U3" s="37">
        <f>BDbDT_calcs!U59</f>
        <v>15158.777911756048</v>
      </c>
      <c r="V3" s="37">
        <f>BDbDT_calcs!V59</f>
        <v>15213.812391262267</v>
      </c>
      <c r="W3" s="37">
        <f>BDbDT_calcs!W59</f>
        <v>15249.271124343151</v>
      </c>
      <c r="X3" s="37">
        <f>BDbDT_calcs!X59</f>
        <v>15266.284769567612</v>
      </c>
      <c r="Y3" s="37">
        <f>BDbDT_calcs!Y59</f>
        <v>15272.223523827099</v>
      </c>
      <c r="Z3" s="37">
        <f>BDbDT_calcs!Z59</f>
        <v>15260.720388076936</v>
      </c>
      <c r="AA3" s="37">
        <f>BDbDT_calcs!AA59</f>
        <v>15229.71351604212</v>
      </c>
      <c r="AB3" s="37">
        <f>BDbDT_calcs!AB59</f>
        <v>15179.773380019886</v>
      </c>
    </row>
    <row r="4" spans="1:28" x14ac:dyDescent="0.25">
      <c r="A4" s="4" t="s">
        <v>217</v>
      </c>
      <c r="B4" s="37">
        <f>BDbDT_calcs!B60</f>
        <v>16037.319127804791</v>
      </c>
      <c r="C4" s="37">
        <f>BDbDT_calcs!C60</f>
        <v>16253.592106647468</v>
      </c>
      <c r="D4" s="37">
        <f>BDbDT_calcs!D60</f>
        <v>16447.978604838492</v>
      </c>
      <c r="E4" s="37">
        <f>BDbDT_calcs!E60</f>
        <v>16644.016801854112</v>
      </c>
      <c r="F4" s="37">
        <f>BDbDT_calcs!F60</f>
        <v>16845.108431905657</v>
      </c>
      <c r="G4" s="37">
        <f>BDbDT_calcs!G60</f>
        <v>17051.299467316283</v>
      </c>
      <c r="H4" s="37">
        <f>BDbDT_calcs!H60</f>
        <v>17263.192537821153</v>
      </c>
      <c r="I4" s="37">
        <f>BDbDT_calcs!I60</f>
        <v>17405.246726225203</v>
      </c>
      <c r="J4" s="37">
        <f>BDbDT_calcs!J60</f>
        <v>17548.088684055656</v>
      </c>
      <c r="K4" s="37">
        <f>BDbDT_calcs!K60</f>
        <v>17688.611750904762</v>
      </c>
      <c r="L4" s="37">
        <f>BDbDT_calcs!L60</f>
        <v>17825.923739007616</v>
      </c>
      <c r="M4" s="37">
        <f>BDbDT_calcs!M60</f>
        <v>17959.394267232357</v>
      </c>
      <c r="N4" s="37">
        <f>BDbDT_calcs!N60</f>
        <v>18085.855990155924</v>
      </c>
      <c r="O4" s="37">
        <f>BDbDT_calcs!O60</f>
        <v>18203.652814469846</v>
      </c>
      <c r="P4" s="37">
        <f>BDbDT_calcs!P60</f>
        <v>18310.611998166041</v>
      </c>
      <c r="Q4" s="37">
        <f>BDbDT_calcs!Q60</f>
        <v>18404.481981334127</v>
      </c>
      <c r="R4" s="37">
        <f>BDbDT_calcs!R60</f>
        <v>18483.158018277227</v>
      </c>
      <c r="S4" s="37">
        <f>BDbDT_calcs!S60</f>
        <v>18527.604556753206</v>
      </c>
      <c r="T4" s="37">
        <f>BDbDT_calcs!T60</f>
        <v>18554.531017539837</v>
      </c>
      <c r="U4" s="37">
        <f>BDbDT_calcs!U60</f>
        <v>18564.194879111074</v>
      </c>
      <c r="V4" s="37">
        <f>BDbDT_calcs!V60</f>
        <v>18551.956152050203</v>
      </c>
      <c r="W4" s="37">
        <f>BDbDT_calcs!W60</f>
        <v>18516.782435804955</v>
      </c>
      <c r="X4" s="37">
        <f>BDbDT_calcs!X60</f>
        <v>18459.435788144019</v>
      </c>
      <c r="Y4" s="37">
        <f>BDbDT_calcs!Y60</f>
        <v>18389.639546516784</v>
      </c>
      <c r="Z4" s="37">
        <f>BDbDT_calcs!Z60</f>
        <v>18299.391600090978</v>
      </c>
      <c r="AA4" s="37">
        <f>BDbDT_calcs!AA60</f>
        <v>18187.892359121892</v>
      </c>
      <c r="AB4" s="37">
        <f>BDbDT_calcs!AB60</f>
        <v>18057.025703372699</v>
      </c>
    </row>
    <row r="5" spans="1:28" x14ac:dyDescent="0.25">
      <c r="A5" s="4" t="s">
        <v>218</v>
      </c>
      <c r="B5" s="37">
        <f>BDbDT_calcs!B61</f>
        <v>8756.9388873977277</v>
      </c>
      <c r="C5" s="37">
        <f>BDbDT_calcs!C61</f>
        <v>8860.6630473895166</v>
      </c>
      <c r="D5" s="37">
        <f>BDbDT_calcs!D61</f>
        <v>8953.9975233960704</v>
      </c>
      <c r="E5" s="37">
        <f>BDbDT_calcs!E61</f>
        <v>9047.9613656730562</v>
      </c>
      <c r="F5" s="37">
        <f>BDbDT_calcs!F61</f>
        <v>9145.5185112669405</v>
      </c>
      <c r="G5" s="37">
        <f>BDbDT_calcs!G61</f>
        <v>9246.9094546972483</v>
      </c>
      <c r="H5" s="37">
        <f>BDbDT_calcs!H61</f>
        <v>9351.9066438721675</v>
      </c>
      <c r="I5" s="37">
        <f>BDbDT_calcs!I61</f>
        <v>9420.9481353790634</v>
      </c>
      <c r="J5" s="37">
        <f>BDbDT_calcs!J61</f>
        <v>9492.5191390370401</v>
      </c>
      <c r="K5" s="37">
        <f>BDbDT_calcs!K61</f>
        <v>9565.9806233765739</v>
      </c>
      <c r="L5" s="37">
        <f>BDbDT_calcs!L61</f>
        <v>9641.3203891343383</v>
      </c>
      <c r="M5" s="37">
        <f>BDbDT_calcs!M61</f>
        <v>9718.0219984821542</v>
      </c>
      <c r="N5" s="37">
        <f>BDbDT_calcs!N61</f>
        <v>9796.5284198789268</v>
      </c>
      <c r="O5" s="37">
        <f>BDbDT_calcs!O61</f>
        <v>9874.349974883602</v>
      </c>
      <c r="P5" s="37">
        <f>BDbDT_calcs!P61</f>
        <v>9952.5830894999635</v>
      </c>
      <c r="Q5" s="37">
        <f>BDbDT_calcs!Q61</f>
        <v>10029.213038744112</v>
      </c>
      <c r="R5" s="37">
        <f>BDbDT_calcs!R61</f>
        <v>10104.028616254966</v>
      </c>
      <c r="S5" s="37">
        <f>BDbDT_calcs!S61</f>
        <v>10167.370807161005</v>
      </c>
      <c r="T5" s="37">
        <f>BDbDT_calcs!T61</f>
        <v>10226.812347024921</v>
      </c>
      <c r="U5" s="37">
        <f>BDbDT_calcs!U61</f>
        <v>10282.555850906207</v>
      </c>
      <c r="V5" s="37">
        <f>BDbDT_calcs!V61</f>
        <v>10333.45001159369</v>
      </c>
      <c r="W5" s="37">
        <f>BDbDT_calcs!W61</f>
        <v>10377.647562353361</v>
      </c>
      <c r="X5" s="37">
        <f>BDbDT_calcs!X61</f>
        <v>10414.543989970589</v>
      </c>
      <c r="Y5" s="37">
        <f>BDbDT_calcs!Y61</f>
        <v>10446.852282858388</v>
      </c>
      <c r="Z5" s="37">
        <f>BDbDT_calcs!Z61</f>
        <v>10471.758184385542</v>
      </c>
      <c r="AA5" s="37">
        <f>BDbDT_calcs!AA61</f>
        <v>10489.270800589909</v>
      </c>
      <c r="AB5" s="37">
        <f>BDbDT_calcs!AB61</f>
        <v>10498.407501592097</v>
      </c>
    </row>
    <row r="6" spans="1:28" x14ac:dyDescent="0.25">
      <c r="A6" s="4" t="s">
        <v>219</v>
      </c>
      <c r="B6" s="37">
        <f>BDbDT_calcs!B62</f>
        <v>213.3542579001481</v>
      </c>
      <c r="C6" s="37">
        <f>BDbDT_calcs!C62</f>
        <v>217.68038368982056</v>
      </c>
      <c r="D6" s="37">
        <f>BDbDT_calcs!D62</f>
        <v>221.8963733737375</v>
      </c>
      <c r="E6" s="37">
        <f>BDbDT_calcs!E62</f>
        <v>226.42690416637791</v>
      </c>
      <c r="F6" s="37">
        <f>BDbDT_calcs!F62</f>
        <v>231.33606899823135</v>
      </c>
      <c r="G6" s="37">
        <f>BDbDT_calcs!G62</f>
        <v>236.61753921246367</v>
      </c>
      <c r="H6" s="37">
        <f>BDbDT_calcs!H62</f>
        <v>242.28564106544522</v>
      </c>
      <c r="I6" s="37">
        <f>BDbDT_calcs!I62</f>
        <v>247.2925460111536</v>
      </c>
      <c r="J6" s="37">
        <f>BDbDT_calcs!J62</f>
        <v>252.50522663953461</v>
      </c>
      <c r="K6" s="37">
        <f>BDbDT_calcs!K62</f>
        <v>257.86968659793916</v>
      </c>
      <c r="L6" s="37">
        <f>BDbDT_calcs!L62</f>
        <v>263.44854500740831</v>
      </c>
      <c r="M6" s="37">
        <f>BDbDT_calcs!M62</f>
        <v>269.18727153119153</v>
      </c>
      <c r="N6" s="37">
        <f>BDbDT_calcs!N62</f>
        <v>275.04922294281897</v>
      </c>
      <c r="O6" s="37">
        <f>BDbDT_calcs!O62</f>
        <v>280.98433369914477</v>
      </c>
      <c r="P6" s="37">
        <f>BDbDT_calcs!P62</f>
        <v>286.9663143533914</v>
      </c>
      <c r="Q6" s="37">
        <f>BDbDT_calcs!Q62</f>
        <v>292.94019495511623</v>
      </c>
      <c r="R6" s="37">
        <f>BDbDT_calcs!R62</f>
        <v>298.87920047454105</v>
      </c>
      <c r="S6" s="37">
        <f>BDbDT_calcs!S62</f>
        <v>304.44189519730378</v>
      </c>
      <c r="T6" s="37">
        <f>BDbDT_calcs!T62</f>
        <v>309.91144670893067</v>
      </c>
      <c r="U6" s="37">
        <f>BDbDT_calcs!U62</f>
        <v>315.22188504800602</v>
      </c>
      <c r="V6" s="37">
        <f>BDbDT_calcs!V62</f>
        <v>320.38521810319395</v>
      </c>
      <c r="W6" s="37">
        <f>BDbDT_calcs!W62</f>
        <v>325.3814130691344</v>
      </c>
      <c r="X6" s="37">
        <f>BDbDT_calcs!X62</f>
        <v>330.2393605111522</v>
      </c>
      <c r="Y6" s="37">
        <f>BDbDT_calcs!Y62</f>
        <v>334.93831713491426</v>
      </c>
      <c r="Z6" s="37">
        <f>BDbDT_calcs!Z62</f>
        <v>339.48955883352579</v>
      </c>
      <c r="AA6" s="37">
        <f>BDbDT_calcs!AA62</f>
        <v>343.89012883525061</v>
      </c>
      <c r="AB6" s="37">
        <f>BDbDT_calcs!AB62</f>
        <v>348.11600548972143</v>
      </c>
    </row>
    <row r="7" spans="1:28" x14ac:dyDescent="0.25">
      <c r="A7" s="4" t="s">
        <v>220</v>
      </c>
      <c r="B7" s="37">
        <f>BDbDT_calcs!B63</f>
        <v>291.02207014483656</v>
      </c>
      <c r="C7" s="37">
        <f>BDbDT_calcs!C63</f>
        <v>296.50731304228327</v>
      </c>
      <c r="D7" s="37">
        <f>BDbDT_calcs!D63</f>
        <v>301.88991615691953</v>
      </c>
      <c r="E7" s="37">
        <f>BDbDT_calcs!E63</f>
        <v>307.81749462619035</v>
      </c>
      <c r="F7" s="37">
        <f>BDbDT_calcs!F63</f>
        <v>313.77950016956191</v>
      </c>
      <c r="G7" s="37">
        <f>BDbDT_calcs!G63</f>
        <v>320.2232617336403</v>
      </c>
      <c r="H7" s="37">
        <f>BDbDT_calcs!H63</f>
        <v>326.85641041679793</v>
      </c>
      <c r="I7" s="37">
        <f>BDbDT_calcs!I63</f>
        <v>332.20674641530798</v>
      </c>
      <c r="J7" s="37">
        <f>BDbDT_calcs!J63</f>
        <v>337.64224994665642</v>
      </c>
      <c r="K7" s="37">
        <f>BDbDT_calcs!K63</f>
        <v>343.52237480839466</v>
      </c>
      <c r="L7" s="37">
        <f>BDbDT_calcs!L63</f>
        <v>349.51093253164589</v>
      </c>
      <c r="M7" s="37">
        <f>BDbDT_calcs!M63</f>
        <v>355.71137333725727</v>
      </c>
      <c r="N7" s="37">
        <f>BDbDT_calcs!N63</f>
        <v>361.96391400535668</v>
      </c>
      <c r="O7" s="37">
        <f>BDbDT_calcs!O63</f>
        <v>368.2951082921175</v>
      </c>
      <c r="P7" s="37">
        <f>BDbDT_calcs!P63</f>
        <v>374.79867562553829</v>
      </c>
      <c r="Q7" s="37">
        <f>BDbDT_calcs!Q63</f>
        <v>381.42177110077756</v>
      </c>
      <c r="R7" s="37">
        <f>BDbDT_calcs!R63</f>
        <v>388.0887921426949</v>
      </c>
      <c r="S7" s="37">
        <f>BDbDT_calcs!S63</f>
        <v>394.30519707166349</v>
      </c>
      <c r="T7" s="37">
        <f>BDbDT_calcs!T63</f>
        <v>400.53991202043068</v>
      </c>
      <c r="U7" s="37">
        <f>BDbDT_calcs!U63</f>
        <v>406.68666699350746</v>
      </c>
      <c r="V7" s="37">
        <f>BDbDT_calcs!V63</f>
        <v>412.62890116450512</v>
      </c>
      <c r="W7" s="37">
        <f>BDbDT_calcs!W63</f>
        <v>418.61914585538636</v>
      </c>
      <c r="X7" s="37">
        <f>BDbDT_calcs!X63</f>
        <v>424.45433261967776</v>
      </c>
      <c r="Y7" s="37">
        <f>BDbDT_calcs!Y63</f>
        <v>430.25538244826265</v>
      </c>
      <c r="Z7" s="37">
        <f>BDbDT_calcs!Z63</f>
        <v>435.85673287205145</v>
      </c>
      <c r="AA7" s="37">
        <f>BDbDT_calcs!AA63</f>
        <v>441.32372929076581</v>
      </c>
      <c r="AB7" s="37">
        <f>BDbDT_calcs!AB63</f>
        <v>446.72336102731731</v>
      </c>
    </row>
    <row r="8" spans="1:28" x14ac:dyDescent="0.25">
      <c r="A8" s="4" t="s">
        <v>221</v>
      </c>
      <c r="B8" s="37">
        <f>BDbDT_calcs!B64</f>
        <v>461.7714038423515</v>
      </c>
      <c r="C8" s="37">
        <f>BDbDT_calcs!C64</f>
        <v>476.52862620375754</v>
      </c>
      <c r="D8" s="37">
        <f>BDbDT_calcs!D64</f>
        <v>490.9842978007195</v>
      </c>
      <c r="E8" s="37">
        <f>BDbDT_calcs!E64</f>
        <v>505.7586343280671</v>
      </c>
      <c r="F8" s="37">
        <f>BDbDT_calcs!F64</f>
        <v>520.85687581688921</v>
      </c>
      <c r="G8" s="37">
        <f>BDbDT_calcs!G64</f>
        <v>536.34213858155317</v>
      </c>
      <c r="H8" s="37">
        <f>BDbDT_calcs!H64</f>
        <v>552.38850979560152</v>
      </c>
      <c r="I8" s="37">
        <f>BDbDT_calcs!I64</f>
        <v>566.59646884783479</v>
      </c>
      <c r="J8" s="37">
        <f>BDbDT_calcs!J64</f>
        <v>581.07969215745049</v>
      </c>
      <c r="K8" s="37">
        <f>BDbDT_calcs!K64</f>
        <v>595.9656066364962</v>
      </c>
      <c r="L8" s="37">
        <f>BDbDT_calcs!L64</f>
        <v>611.34712030705987</v>
      </c>
      <c r="M8" s="37">
        <f>BDbDT_calcs!M64</f>
        <v>627.06605229023523</v>
      </c>
      <c r="N8" s="37">
        <f>BDbDT_calcs!N64</f>
        <v>643.27773512908277</v>
      </c>
      <c r="O8" s="37">
        <f>BDbDT_calcs!O64</f>
        <v>659.86626219390098</v>
      </c>
      <c r="P8" s="37">
        <f>BDbDT_calcs!P64</f>
        <v>676.79522523080618</v>
      </c>
      <c r="Q8" s="37">
        <f>BDbDT_calcs!Q64</f>
        <v>694.08741487163024</v>
      </c>
      <c r="R8" s="37">
        <f>BDbDT_calcs!R64</f>
        <v>711.59628464537468</v>
      </c>
      <c r="S8" s="37">
        <f>BDbDT_calcs!S64</f>
        <v>728.61840943670654</v>
      </c>
      <c r="T8" s="37">
        <f>BDbDT_calcs!T64</f>
        <v>745.79119500245065</v>
      </c>
      <c r="U8" s="37">
        <f>BDbDT_calcs!U64</f>
        <v>763.0593205217632</v>
      </c>
      <c r="V8" s="37">
        <f>BDbDT_calcs!V64</f>
        <v>780.31671656445963</v>
      </c>
      <c r="W8" s="37">
        <f>BDbDT_calcs!W64</f>
        <v>797.45303819427613</v>
      </c>
      <c r="X8" s="37">
        <f>BDbDT_calcs!X64</f>
        <v>814.56261366051035</v>
      </c>
      <c r="Y8" s="37">
        <f>BDbDT_calcs!Y64</f>
        <v>831.47907518029274</v>
      </c>
      <c r="Z8" s="37">
        <f>BDbDT_calcs!Z64</f>
        <v>848.1903703725518</v>
      </c>
      <c r="AA8" s="37">
        <f>BDbDT_calcs!AA64</f>
        <v>864.50630255844612</v>
      </c>
      <c r="AB8" s="37">
        <f>BDbDT_calcs!AB64</f>
        <v>880.40557381307701</v>
      </c>
    </row>
    <row r="9" spans="1:28" x14ac:dyDescent="0.25">
      <c r="A9" s="4" t="s">
        <v>222</v>
      </c>
      <c r="B9" s="37">
        <f>BDbDT_calcs!B65</f>
        <v>27624.515713567151</v>
      </c>
      <c r="C9" s="37">
        <f>BDbDT_calcs!C65</f>
        <v>27954.987178593408</v>
      </c>
      <c r="D9" s="37">
        <f>BDbDT_calcs!D65</f>
        <v>28248.360736306768</v>
      </c>
      <c r="E9" s="37">
        <f>BDbDT_calcs!E65</f>
        <v>28545.910762662294</v>
      </c>
      <c r="F9" s="37">
        <f>BDbDT_calcs!F65</f>
        <v>28853.236130267305</v>
      </c>
      <c r="G9" s="37">
        <f>BDbDT_calcs!G65</f>
        <v>29171.190647523559</v>
      </c>
      <c r="H9" s="37">
        <f>BDbDT_calcs!H65</f>
        <v>29498.99449003311</v>
      </c>
      <c r="I9" s="37">
        <f>BDbDT_calcs!I65</f>
        <v>29708.025077199898</v>
      </c>
      <c r="J9" s="37">
        <f>BDbDT_calcs!J65</f>
        <v>29919.22474843439</v>
      </c>
      <c r="K9" s="37">
        <f>BDbDT_calcs!K65</f>
        <v>30127.394867839739</v>
      </c>
      <c r="L9" s="37">
        <f>BDbDT_calcs!L65</f>
        <v>30330.208204122489</v>
      </c>
      <c r="M9" s="37">
        <f>BDbDT_calcs!M65</f>
        <v>30527.297533965488</v>
      </c>
      <c r="N9" s="37">
        <f>BDbDT_calcs!N65</f>
        <v>30712.536566130097</v>
      </c>
      <c r="O9" s="37">
        <f>BDbDT_calcs!O65</f>
        <v>30882.743396693542</v>
      </c>
      <c r="P9" s="37">
        <f>BDbDT_calcs!P65</f>
        <v>31035.347815703779</v>
      </c>
      <c r="Q9" s="37">
        <f>BDbDT_calcs!Q65</f>
        <v>31165.458952407516</v>
      </c>
      <c r="R9" s="37">
        <f>BDbDT_calcs!R65</f>
        <v>31270.259689905652</v>
      </c>
      <c r="S9" s="37">
        <f>BDbDT_calcs!S65</f>
        <v>31317.272452642337</v>
      </c>
      <c r="T9" s="37">
        <f>BDbDT_calcs!T65</f>
        <v>31334.487380111284</v>
      </c>
      <c r="U9" s="37">
        <f>BDbDT_calcs!U65</f>
        <v>31322.049109980766</v>
      </c>
      <c r="V9" s="37">
        <f>BDbDT_calcs!V65</f>
        <v>31272.767929846465</v>
      </c>
      <c r="W9" s="37">
        <f>BDbDT_calcs!W65</f>
        <v>31185.38199106454</v>
      </c>
      <c r="X9" s="37">
        <f>BDbDT_calcs!X65</f>
        <v>31059.944920009908</v>
      </c>
      <c r="Y9" s="37">
        <f>BDbDT_calcs!Y65</f>
        <v>30913.581430525865</v>
      </c>
      <c r="Z9" s="37">
        <f>BDbDT_calcs!Z65</f>
        <v>30732.596869702178</v>
      </c>
      <c r="AA9" s="37">
        <f>BDbDT_calcs!AA65</f>
        <v>30516.989640124015</v>
      </c>
      <c r="AB9" s="37">
        <f>BDbDT_calcs!AB65</f>
        <v>30269.350393516437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2026-08-17T20:29:04Z</dcterms:modified>
</cp:coreProperties>
</file>